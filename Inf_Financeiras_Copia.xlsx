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otal 2024" sheetId="1" r:id="rId5"/>
    <sheet state="visible" name="Março" sheetId="2" r:id="rId6"/>
    <sheet state="hidden" name="Abril" sheetId="3" r:id="rId7"/>
    <sheet state="hidden" name="Maio" sheetId="4" r:id="rId8"/>
    <sheet state="hidden" name="Junho" sheetId="5" r:id="rId9"/>
    <sheet state="hidden" name="Julho" sheetId="6" r:id="rId10"/>
    <sheet state="hidden" name="Agosto" sheetId="7" r:id="rId11"/>
    <sheet state="hidden" name="Setembro" sheetId="8" r:id="rId12"/>
    <sheet state="hidden" name="Outubro" sheetId="9" r:id="rId13"/>
    <sheet state="hidden" name="Novembro" sheetId="10" r:id="rId14"/>
    <sheet state="hidden" name="Dezembro" sheetId="11" r:id="rId15"/>
    <sheet state="visible" name="Total 2025" sheetId="12" r:id="rId16"/>
    <sheet state="visible" name="Janeiro 2026" sheetId="13" r:id="rId17"/>
    <sheet state="visible" name="Fevereiro 2026" sheetId="14" r:id="rId18"/>
    <sheet state="visible" name="Março 2026" sheetId="15" r:id="rId19"/>
    <sheet state="visible" name="Abril 2026" sheetId="16" r:id="rId20"/>
    <sheet state="visible" name="Maio 2026" sheetId="17" r:id="rId21"/>
    <sheet state="visible" name="Junho 2026" sheetId="18" r:id="rId22"/>
    <sheet state="visible" name="Julho 2026" sheetId="19" r:id="rId23"/>
    <sheet state="hidden" name="Abril 2025" sheetId="20" r:id="rId24"/>
    <sheet state="hidden" name="Maio 2025" sheetId="21" r:id="rId25"/>
    <sheet state="hidden" name="Junho 2025" sheetId="22" r:id="rId26"/>
    <sheet state="hidden" name="Julho 2025" sheetId="23" r:id="rId27"/>
    <sheet state="hidden" name="Agosto 2025" sheetId="24" r:id="rId28"/>
    <sheet state="hidden" name="Setembro 2025" sheetId="25" r:id="rId29"/>
    <sheet state="hidden" name="Outubro 2025" sheetId="26" r:id="rId30"/>
    <sheet state="hidden" name="Novembro 2025" sheetId="27" r:id="rId31"/>
    <sheet state="hidden" name="Dezembro 2025" sheetId="28" r:id="rId32"/>
    <sheet state="hidden" name="Janeiro 2025" sheetId="29" r:id="rId33"/>
    <sheet state="hidden" name="Março 2025" sheetId="30" r:id="rId34"/>
    <sheet state="hidden" name="Fevereiro 2025" sheetId="31" r:id="rId3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tc={04e33b2b-c7cf-4804-aebd-423c3be8fcf3}</author>
    <author>tc={0573d15d-4355-4aa9-a5bb-58a405216b5a}</author>
    <author>tc={1219e161-104c-49d4-bff1-8e8545c4cd93}</author>
    <author>tc={2b402cf5-12b9-4ee0-891c-ad9873991257}</author>
    <author>tc={3adbca06-3296-459f-b1ff-2f82bf4e3cde}</author>
    <author>tc={4034144d-dc51-4061-8f3d-84d0e1f7348d}</author>
    <author>tc={62312bc9-d0b6-47b2-b3d5-96bdb2390333}</author>
    <author>tc={6a27b271-6b38-480b-8d71-95807e6d7deb}</author>
    <author>tc={782e5efa-289f-46ee-8007-b9e1b67b3479}</author>
    <author>tc={8db47fe6-7e92-4f75-a806-fa2f788680e3}</author>
    <author>tc={a553386d-169d-432c-80b4-0253596d197f}</author>
    <author>tc={bbab3cad-ac83-4936-aed9-73a66309f55c}</author>
    <author>tc={c5c77384-3ffc-4871-bf45-1a64742f3c86}</author>
    <author>tc={d9123881-7b85-4543-a2a9-d58553d51f5f}</author>
    <author>tc={da7852d3-a280-4c43-a389-c8d71fdc3915}</author>
    <author>tc={dc12bfcb-57a9-456a-9245-4e91a04c8daf}</author>
    <author>tc={e385f622-812d-4052-a5f3-af1f71c1612f}</author>
    <author>tc={e5f294bd-a1a0-4dfc-95d8-055cf75e98af}</author>
    <author>tc={f24fd75b-11b7-4f9a-b809-42d374467100}</author>
    <author>tc={f70bdec6-9d52-4078-a670-52fd5117a35b}</author>
    <author>tc={f82a06dd-ec04-4b22-9b1c-a3e7166d2c27}</author>
  </authors>
  <commentList>
    <comment authorId="0" xr:uid="{04e33b2b-c7cf-4804-aebd-423c3be8fcf3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TG
</t>
      </text>
    </comment>
    <comment authorId="1" xr:uid="{0573d15d-4355-4aa9-a5bb-58a405216b5a}" ref="L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Corte de cabelo
</t>
      </text>
    </comment>
    <comment authorId="2" xr:uid="{1219e161-104c-49d4-bff1-8e8545c4cd93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Lanches durante free lancer
</t>
      </text>
    </comment>
    <comment authorId="3" xr:uid="{2b402cf5-12b9-4ee0-891c-ad9873991257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Aluguel
</t>
      </text>
    </comment>
    <comment authorId="4" xr:uid="{3adbca06-3296-459f-b1ff-2f82bf4e3cde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Capa de chuva (Moto)
</t>
      </text>
    </comment>
    <comment authorId="5" xr:uid="{4034144d-dc51-4061-8f3d-84d0e1f7348d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Evento Pxg
</t>
      </text>
    </comment>
    <comment authorId="6" xr:uid="{62312bc9-d0b6-47b2-b3d5-96bdb2390333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Free lancer Vivest
</t>
      </text>
    </comment>
    <comment authorId="7" xr:uid="{6a27b271-6b38-480b-8d71-95807e6d7deb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Free lancer Vivest
</t>
      </text>
    </comment>
    <comment authorId="8" xr:uid="{782e5efa-289f-46ee-8007-b9e1b67b3479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da pista
</t>
      </text>
    </comment>
    <comment authorId="9" xr:uid="{8db47fe6-7e92-4f75-a806-fa2f788680e3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
</t>
      </text>
    </comment>
    <comment authorId="10" xr:uid="{a553386d-169d-432c-80b4-0253596d197f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Fatura Cartão (Internet, etc)
</t>
      </text>
    </comment>
    <comment authorId="11" xr:uid="{bbab3cad-ac83-4936-aed9-73a66309f55c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
</t>
      </text>
    </comment>
    <comment authorId="12" xr:uid="{c5c77384-3ffc-4871-bf45-1a64742f3c86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Ajuda Lucas
</t>
      </text>
    </comment>
    <comment authorId="13" xr:uid="{d9123881-7b85-4543-a2a9-d58553d51f5f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Estacio
</t>
      </text>
    </comment>
    <comment authorId="14" xr:uid="{da7852d3-a280-4c43-a389-c8d71fdc3915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Padaria
</t>
      </text>
    </comment>
    <comment authorId="15" xr:uid="{dc12bfcb-57a9-456a-9245-4e91a04c8daf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Sorvete
</t>
      </text>
    </comment>
    <comment authorId="16" xr:uid="{e385f622-812d-4052-a5f3-af1f71c1612f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 Shopping delrey
</t>
      </text>
    </comment>
    <comment authorId="17" xr:uid="{e5f294bd-a1a0-4dfc-95d8-055cf75e98af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Aulas Auto Escola
</t>
      </text>
    </comment>
    <comment authorId="18" xr:uid="{f24fd75b-11b7-4f9a-b809-42d374467100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Auto escola (Remarcação exame)
</t>
      </text>
    </comment>
    <comment authorId="19" xr:uid="{f70bdec6-9d52-4078-a670-52fd5117a35b}" ref="D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
</t>
      </text>
    </comment>
    <comment authorId="20" xr:uid="{f82a06dd-ec04-4b22-9b1c-a3e7166d2c27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Lanches durante free lancer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tc={03105675-fab6-48b6-9056-1182503f29b2}</author>
    <author>tc={4e64520b-1d99-4358-ae0d-7b0512e797cc}</author>
    <author>tc={6c7443fc-7a8a-4413-82ce-605b18ae73cd}</author>
    <author>tc={90bdcea6-755e-4d01-9c35-98e07abffe07}</author>
    <author>tc={9727bc5f-139c-4f24-83a2-aec202106c72}</author>
    <author>tc={b6526736-552a-4080-9501-875db66ac4b1}</author>
    <author>tc={bde1552b-43b7-438b-a07b-497c6434f1c0}</author>
    <author>tc={c334c9fc-1885-445f-ab5a-952d31f06853}</author>
    <author>tc={ce506c78-33ee-47fb-9d53-9191f159319c}</author>
    <author>tc={d707b53c-3b8c-45de-bd54-6a088a628753}</author>
    <author>tc={fe892bbc-8028-4959-abdd-671e1184c52a}</author>
  </authors>
  <commentList>
    <comment authorId="0" xr:uid="{03105675-fab6-48b6-9056-1182503f29b2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Fatura Cartão
</t>
      </text>
    </comment>
    <comment authorId="1" xr:uid="{4e64520b-1d99-4358-ae0d-7b0512e797cc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da pista
</t>
      </text>
    </comment>
    <comment authorId="2" xr:uid="{6c7443fc-7a8a-4413-82ce-605b18ae73cd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Estacio
</t>
      </text>
    </comment>
    <comment authorId="3" xr:uid="{90bdcea6-755e-4d01-9c35-98e07abffe07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4" xr:uid="{9727bc5f-139c-4f24-83a2-aec202106c72}" ref="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Lanches durante exame
</t>
      </text>
    </comment>
    <comment authorId="5" xr:uid="{b6526736-552a-4080-9501-875db66ac4b1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Metro, lanches e almoço
</t>
      </text>
    </comment>
    <comment authorId="6" xr:uid="{bde1552b-43b7-438b-a07b-497c6434f1c0}" ref="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
</t>
      </text>
    </comment>
    <comment authorId="7" xr:uid="{c334c9fc-1885-445f-ab5a-952d31f06853}" ref="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Pão de queijo
</t>
      </text>
    </comment>
    <comment authorId="8" xr:uid="{ce506c78-33ee-47fb-9d53-9191f159319c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Aulas Auto escola
</t>
      </text>
    </comment>
    <comment authorId="9" xr:uid="{d707b53c-3b8c-45de-bd54-6a088a628753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 e lanche
</t>
      </text>
    </comment>
    <comment authorId="10" xr:uid="{fe892bbc-8028-4959-abdd-671e1184c52a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Taxa do Kart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tc={0320bc67-6ced-4e89-8353-1196dc182101}</author>
    <author>tc={0c45a56b-e293-4fe3-bf8e-b7f8ca7fe35c}</author>
    <author>tc={1f79ac2f-935a-4559-8705-4f442ec5bcf5}</author>
    <author>tc={299645b8-7f35-4f9f-8dfc-3df7aeadf230}</author>
    <author>tc={3482c549-392c-4783-b981-aef79ed81a4a}</author>
    <author>tc={42dc86c5-df66-46c5-8d98-b3097b6e3521}</author>
    <author>tc={4a8c23fc-74f3-4ce3-8bf1-81fa86e1a593}</author>
    <author>tc={66344945-2858-4a64-bc45-ea3befe1c447}</author>
    <author>tc={67554f12-f2e0-4fb0-a947-e26eff2bf577}</author>
    <author>tc={795e5f08-71c2-4a03-8541-8533353fa1b5}</author>
    <author>tc={79a2f032-ef04-42db-9f56-5583a353419b}</author>
    <author>tc={7d784c71-d1e1-493b-af79-ee02e89c9331}</author>
    <author>tc={9bd4f90d-f834-4d63-9d02-d13775faa580}</author>
    <author>tc={baa67a8a-4b64-4cc2-a3d1-3c76f526c973}</author>
    <author>tc={bbf2f70b-f1b5-4983-9eae-b88fb47dc36b}</author>
    <author>tc={bf376f1b-470f-49b0-bde4-7fbef7eb3d10}</author>
    <author>tc={da0e0e7a-f2d9-4696-a948-54fa0729a5e1}</author>
    <author>tc={ea5522dd-fd12-407d-aa7b-6a42149e0bbb}</author>
  </authors>
  <commentList>
    <comment authorId="0" xr:uid="{0320bc67-6ced-4e89-8353-1196dc182101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" xr:uid="{0c45a56b-e293-4fe3-bf8e-b7f8ca7fe35c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2" xr:uid="{1f79ac2f-935a-4559-8705-4f442ec5bcf5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Auto escola
</t>
      </text>
    </comment>
    <comment authorId="3" xr:uid="{299645b8-7f35-4f9f-8dfc-3df7aeadf230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Auto escola
</t>
      </text>
    </comment>
    <comment authorId="4" xr:uid="{3482c549-392c-4783-b981-aef79ed81a4a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5" xr:uid="{42dc86c5-df66-46c5-8d98-b3097b6e3521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 e lanches
</t>
      </text>
    </comment>
    <comment authorId="6" xr:uid="{4a8c23fc-74f3-4ce3-8bf1-81fa86e1a593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7" xr:uid="{66344945-2858-4a64-bc45-ea3befe1c447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Estacio
</t>
      </text>
    </comment>
    <comment authorId="8" xr:uid="{67554f12-f2e0-4fb0-a947-e26eff2bf577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Auto escola
</t>
      </text>
    </comment>
    <comment authorId="9" xr:uid="{795e5f08-71c2-4a03-8541-8533353fa1b5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0" xr:uid="{79a2f032-ef04-42db-9f56-5583a353419b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11" xr:uid="{7d784c71-d1e1-493b-af79-ee02e89c9331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Amazon
</t>
      </text>
    </comment>
    <comment authorId="12" xr:uid="{9bd4f90d-f834-4d63-9d02-d13775faa580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3" xr:uid="{baa67a8a-4b64-4cc2-a3d1-3c76f526c973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4" xr:uid="{bbf2f70b-f1b5-4983-9eae-b88fb47dc36b}" ref="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15" xr:uid="{bf376f1b-470f-49b0-bde4-7fbef7eb3d10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Internet e afins
</t>
      </text>
    </comment>
    <comment authorId="16" xr:uid="{da0e0e7a-f2d9-4696-a948-54fa0729a5e1}" ref="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 e Passagens
</t>
      </text>
    </comment>
    <comment authorId="17" xr:uid="{ea5522dd-fd12-407d-aa7b-6a42149e0bbb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 (30) e lanches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tc={030ee88f-873d-411b-9822-64d76067228e}</author>
    <author>tc={11ffda48-3a5a-41ac-9f6c-3a9b3983b4ff}</author>
    <author>tc={17eb635e-2dd4-4217-8e6d-b602828f1a78}</author>
    <author>tc={184cda5c-e2c4-41fb-8971-0736e52abde9}</author>
    <author>tc={2583a6fe-c34a-4f65-bff0-0c201aa3a0be}</author>
    <author>tc={300b1df7-7768-4997-833f-9ee59247024f}</author>
    <author>tc={302d9f85-0046-4cba-a962-cb64cc614b51}</author>
    <author>tc={58c653b8-6bae-4056-b0ad-996c94c69d40}</author>
    <author>tc={75459763-2da4-4cf3-8c0f-aaeb894dae1e}</author>
    <author>tc={9b2df83b-71bd-4281-8c95-e6a650a2de47}</author>
    <author>tc={a30169c0-c0f8-4157-953d-f7529a312345}</author>
    <author>tc={af739fdd-5898-4b89-8c9b-14b14a9ac754}</author>
    <author>tc={b1206ab5-3e40-474a-a7e4-c5082de626f7}</author>
    <author>tc={b728f22e-82a7-4181-aaa6-4396bdb8bb68}</author>
    <author>tc={b7f089c7-30cf-4c1f-9339-3349d6551b88}</author>
    <author>tc={bfa424f8-df2d-4c20-8be9-52e0434c1a6a}</author>
    <author>tc={c22be7b4-f536-4e99-b7b7-0f527dbd4bf7}</author>
    <author>tc={d1673658-f7aa-4706-889d-b6e6f9404b96}</author>
    <author>tc={e4281043-e23b-4d10-929f-2200cf0480ee}</author>
    <author>tc={e7ade200-c312-4f6f-a1bc-5954e768940b}</author>
    <author>tc={ef14e202-b522-4ec2-b724-a7ca2e368bce}</author>
    <author>tc={fef28788-b790-4db4-8af0-84d4432a453e}</author>
  </authors>
  <commentList>
    <comment authorId="0" xr:uid="{030ee88f-873d-411b-9822-64d76067228e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Chocolate
</t>
      </text>
    </comment>
    <comment authorId="1" xr:uid="{11ffda48-3a5a-41ac-9f6c-3a9b3983b4ff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2" xr:uid="{17eb635e-2dd4-4217-8e6d-b602828f1a78}" ref="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3" xr:uid="{184cda5c-e2c4-41fb-8971-0736e52abde9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4" xr:uid="{2583a6fe-c34a-4f65-bff0-0c201aa3a0be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Caixa anuidade
</t>
      </text>
    </comment>
    <comment authorId="5" xr:uid="{300b1df7-7768-4997-833f-9ee59247024f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Passagem
</t>
      </text>
    </comment>
    <comment authorId="6" xr:uid="{302d9f85-0046-4cba-a962-cb64cc614b51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Internet e afins
</t>
      </text>
    </comment>
    <comment authorId="7" xr:uid="{58c653b8-6bae-4056-b0ad-996c94c69d40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8" xr:uid="{75459763-2da4-4cf3-8c0f-aaeb894dae1e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Sorvetes
</t>
      </text>
    </comment>
    <comment authorId="9" xr:uid="{9b2df83b-71bd-4281-8c95-e6a650a2de47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Amazon
</t>
      </text>
    </comment>
    <comment authorId="10" xr:uid="{a30169c0-c0f8-4157-953d-f7529a312345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Aluguel
</t>
      </text>
    </comment>
    <comment authorId="11" xr:uid="{af739fdd-5898-4b89-8c9b-14b14a9ac754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Estacio
</t>
      </text>
    </comment>
    <comment authorId="12" xr:uid="{b1206ab5-3e40-474a-a7e4-c5082de626f7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Amazon
</t>
      </text>
    </comment>
    <comment authorId="13" xr:uid="{b728f22e-82a7-4181-aaa6-4396bdb8bb68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14" xr:uid="{b7f089c7-30cf-4c1f-9339-3349d6551b88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Saida com gustavo + Ingressos digital circus
</t>
      </text>
    </comment>
    <comment authorId="15" xr:uid="{bfa424f8-df2d-4c20-8be9-52e0434c1a6a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6" xr:uid="{c22be7b4-f536-4e99-b7b7-0f527dbd4bf7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7" xr:uid="{d1673658-f7aa-4706-889d-b6e6f9404b96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Lanches
</t>
      </text>
    </comment>
    <comment authorId="18" xr:uid="{e4281043-e23b-4d10-929f-2200cf0480ee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19" xr:uid="{e7ade200-c312-4f6f-a1bc-5954e768940b}" ref="K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Passagem
</t>
      </text>
    </comment>
    <comment authorId="20" xr:uid="{ef14e202-b522-4ec2-b724-a7ca2e368bce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21" xr:uid="{fef28788-b790-4db4-8af0-84d4432a453e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tc={00469098-2719-4050-898c-22c7347290cc}</author>
    <author>tc={1102b35a-e883-4fcf-a98e-f054bff85d72}</author>
    <author>tc={1f098e8d-2297-494a-b31e-4e7dc63a0585}</author>
    <author>tc={2b1bfbf8-6b34-425e-b651-cbe5e2b5e2ec}</author>
    <author>tc={361625f3-720e-4e04-8f8d-4d6607e654be}</author>
    <author>tc={39eeb2fe-6509-49c6-b0ba-4b0b184d11c7}</author>
    <author>tc={42bf7eda-2267-43e8-bdd4-68d624c19b74}</author>
    <author>tc={4e53617f-9a2e-4b34-b2cb-03663c0d93bb}</author>
    <author>tc={59bfca4e-0314-4304-bb1c-b4ee9db817b5}</author>
    <author>tc={6d8c61c1-37f3-4b02-8095-abe6cf1dcb78}</author>
    <author>tc={7421b202-9491-461b-aa75-3779964490c9}</author>
    <author>tc={7bda752e-e0b6-47e6-860f-0203f6c65d3b}</author>
    <author>tc={a0bf3395-9e34-47b2-91ce-70b17b5e1dbc}</author>
    <author>tc={a6859e1b-1e55-4f77-a300-f8e1add00e01}</author>
    <author>tc={af7a2ccb-ed2b-44cf-82be-075afecc390a}</author>
    <author>tc={d11fe05f-9267-409b-8560-aef288c9fb6f}</author>
    <author>tc={d7ceba52-6d81-4dca-920e-636a6b725333}</author>
  </authors>
  <commentList>
    <comment authorId="0" xr:uid="{00469098-2719-4050-898c-22c7347290cc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Pasta de dente
</t>
      </text>
    </comment>
    <comment authorId="1" xr:uid="{1102b35a-e883-4fcf-a98e-f054bff85d72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2" xr:uid="{1f098e8d-2297-494a-b31e-4e7dc63a0585}" ref="K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Internet e afins
</t>
      </text>
    </comment>
    <comment authorId="3" xr:uid="{2b1bfbf8-6b34-425e-b651-cbe5e2b5e2ec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4" xr:uid="{361625f3-720e-4e04-8f8d-4d6607e654be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Fita
</t>
      </text>
    </comment>
    <comment authorId="5" xr:uid="{39eeb2fe-6509-49c6-b0ba-4b0b184d11c7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6" xr:uid="{42bf7eda-2267-43e8-bdd4-68d624c19b74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Estacio
</t>
      </text>
    </comment>
    <comment authorId="7" xr:uid="{4e53617f-9a2e-4b34-b2cb-03663c0d93bb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Aluguel
</t>
      </text>
    </comment>
    <comment authorId="8" xr:uid="{59bfca4e-0314-4304-bb1c-b4ee9db817b5}" ref="L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Passagem
</t>
      </text>
    </comment>
    <comment authorId="9" xr:uid="{6d8c61c1-37f3-4b02-8095-abe6cf1dcb78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Sorvete
</t>
      </text>
    </comment>
    <comment authorId="10" xr:uid="{7421b202-9491-461b-aa75-3779964490c9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Caixa
</t>
      </text>
    </comment>
    <comment authorId="11" xr:uid="{7bda752e-e0b6-47e6-860f-0203f6c65d3b}" ref="K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2" xr:uid="{a0bf3395-9e34-47b2-91ce-70b17b5e1dbc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Luciano
</t>
      </text>
    </comment>
    <comment authorId="13" xr:uid="{a6859e1b-1e55-4f77-a300-f8e1add00e01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Arvorismo
</t>
      </text>
    </comment>
    <comment authorId="14" xr:uid="{af7a2ccb-ed2b-44cf-82be-075afecc390a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5" xr:uid="{d11fe05f-9267-409b-8560-aef288c9fb6f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6" xr:uid="{d7ceba52-6d81-4dca-920e-636a6b725333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Fita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tc={359a4528-93d9-4e95-b1ec-77880ff758fa}</author>
    <author>tc={686e2de9-0003-4f3d-991a-861e7671f1fc}</author>
    <author>tc={7c4b9277-95ab-4571-8feb-3e4f9ac68472}</author>
    <author>tc={81568f94-05d3-4654-8309-466338e1e8d9}</author>
    <author>tc={b6815e37-3b3c-4e9b-a919-378bd2c2e136}</author>
    <author>tc={bf5d49de-7e9b-4218-b3f6-2fe7c1f7b716}</author>
  </authors>
  <commentList>
    <comment authorId="0" xr:uid="{359a4528-93d9-4e95-b1ec-77880ff758fa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Lanche
</t>
      </text>
    </comment>
    <comment authorId="1" xr:uid="{686e2de9-0003-4f3d-991a-861e7671f1fc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Passagem
</t>
      </text>
    </comment>
    <comment authorId="2" xr:uid="{7c4b9277-95ab-4571-8feb-3e4f9ac68472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Mãe
</t>
      </text>
    </comment>
    <comment authorId="3" xr:uid="{81568f94-05d3-4654-8309-466338e1e8d9}" ref="E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Gustavo
</t>
      </text>
    </comment>
    <comment authorId="4" xr:uid="{b6815e37-3b3c-4e9b-a919-378bd2c2e136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Digital circus no cinema
</t>
      </text>
    </comment>
    <comment authorId="5" xr:uid="{bf5d49de-7e9b-4218-b3f6-2fe7c1f7b716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Luciano
</t>
      </text>
    </comment>
  </commentList>
</comments>
</file>

<file path=xl/sharedStrings.xml><?xml version="1.0" encoding="utf-8"?>
<sst xmlns="http://schemas.openxmlformats.org/spreadsheetml/2006/main" count="4925" uniqueCount="298">
  <si>
    <t>-+</t>
  </si>
  <si>
    <t>Despesas</t>
  </si>
  <si>
    <t>Receita</t>
  </si>
  <si>
    <t>Saldo</t>
  </si>
  <si>
    <t>Despesa Total 2024</t>
  </si>
  <si>
    <t>Receita Total 2024</t>
  </si>
  <si>
    <t>Saldo Total 2024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</si>
  <si>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</si>
  <si>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</si>
  <si>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</si>
  <si>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</si>
  <si>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</si>
  <si>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</si>
  <si>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</si>
  <si>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</si>
  <si>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</si>
  <si>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</si>
  <si>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sexta-feira</t>
  </si>
  <si>
    <t>Açucar, Pão de queijo</t>
  </si>
  <si>
    <t>sábado</t>
  </si>
  <si>
    <t>None</t>
  </si>
  <si>
    <t>domingo</t>
  </si>
  <si>
    <t>Sorvete</t>
  </si>
  <si>
    <t>segunda-feira</t>
  </si>
  <si>
    <t>Caldo de cana</t>
  </si>
  <si>
    <t>terça-feira</t>
  </si>
  <si>
    <t>quarta-feira</t>
  </si>
  <si>
    <t>quinta-feira</t>
  </si>
  <si>
    <t>Salgado e suco</t>
  </si>
  <si>
    <t>Mãe</t>
  </si>
  <si>
    <t>Táxi, almoço</t>
  </si>
  <si>
    <t>Internet</t>
  </si>
  <si>
    <t>Guarda chuva (23) + auto escola</t>
  </si>
  <si>
    <t>Salgados e refrigerante</t>
  </si>
  <si>
    <t>sorvete</t>
  </si>
  <si>
    <t>almoço</t>
  </si>
  <si>
    <t>Mãe e Lanche</t>
  </si>
  <si>
    <t>Lanche (16) e Camisa Elegance (59,99)</t>
  </si>
  <si>
    <t>Pão de queijo e caldo de cana</t>
  </si>
  <si>
    <t>Presente da fernanda, Caldo de cana, Participação no salgado da Moda Show e Mãe</t>
  </si>
  <si>
    <t>Milkshake</t>
  </si>
  <si>
    <t>Lanches diversos dias</t>
  </si>
  <si>
    <t>Sorvete + Brawn stars pass</t>
  </si>
  <si>
    <t>Caixa de bombom + Sprite (16) + almoço (27) + uber (10) + Mãe (100)</t>
  </si>
  <si>
    <t>refrigerante e sorvete</t>
  </si>
  <si>
    <t>Caldo de cana e chokito</t>
  </si>
  <si>
    <t>Brawn stars</t>
  </si>
  <si>
    <t>Pizza a noite</t>
  </si>
  <si>
    <t>Calça Teezz (85,99), Uber moto (20), Saida a noite (144,10) uber (30), Mãe (30)</t>
  </si>
  <si>
    <t>presente aniversário Gustavo</t>
  </si>
  <si>
    <t>Guarda chuva pra mãe</t>
  </si>
  <si>
    <t>presente aniversário Sheila (Março)</t>
  </si>
  <si>
    <t>Maquina de barbear</t>
  </si>
  <si>
    <t>Uber ida e volta, milkshake, pass brawn stars (gustavo)</t>
  </si>
  <si>
    <t>Auto Escola</t>
  </si>
  <si>
    <t>Mãe (130), Lanches</t>
  </si>
  <si>
    <t>Mãe (150), suco</t>
  </si>
  <si>
    <t>Mãe (15), lanches diversos dias</t>
  </si>
  <si>
    <t>Cuecas e Suco (3,50)</t>
  </si>
  <si>
    <t>Caldo de cana e salgado</t>
  </si>
  <si>
    <t>Minas shopping</t>
  </si>
  <si>
    <t>Almoço</t>
  </si>
  <si>
    <t>225 reconhecimento de pista, 100 Mãe, 6 refrigerante</t>
  </si>
  <si>
    <t>Limonada</t>
  </si>
  <si>
    <t>lanches em geral</t>
  </si>
  <si>
    <t>Auto Escola (13), presente dia das mães (85), sorvete (12), Suco (3,80)</t>
  </si>
  <si>
    <t>Celeste</t>
  </si>
  <si>
    <t>Sorvete, Chocolate, gastos em geral</t>
  </si>
  <si>
    <t>Mãe (100), Lanches gerais</t>
  </si>
  <si>
    <t>Mãe (200), Milk shake</t>
  </si>
  <si>
    <t>Caldo de Cana e Chokito</t>
  </si>
  <si>
    <t>Café da manhã, lanche e mãe (50)</t>
  </si>
  <si>
    <t>Sorvete, Mãe (50)</t>
  </si>
  <si>
    <t>Creme para pentear, desodorante (54,98), trento (4,76)</t>
  </si>
  <si>
    <t>Sprite, Mãe (20)</t>
  </si>
  <si>
    <t>Mãe, Calça Teezz (85,99)</t>
  </si>
  <si>
    <t>Presente aniversário luna</t>
  </si>
  <si>
    <t>Cadeira</t>
  </si>
  <si>
    <t>Aluguel</t>
  </si>
  <si>
    <t>Trento e Chokito</t>
  </si>
  <si>
    <t>Macarrão na Chapa</t>
  </si>
  <si>
    <t>Tinta da calça</t>
  </si>
  <si>
    <t>Suco almoço</t>
  </si>
  <si>
    <t>sorvete, cappucino, pão de queijo</t>
  </si>
  <si>
    <t>pão de queijo, refrigerante, pão de mel</t>
  </si>
  <si>
    <t>sorvete, Mãe (20)</t>
  </si>
  <si>
    <t>Garrafas (20), Mãe (30)</t>
  </si>
  <si>
    <t>Ida no nazaré, The Coffin of Andy and Leyley (32)</t>
  </si>
  <si>
    <t>Sorvete e refrigerante (27), Mãe (50), Sorvete noite + mãe (37)</t>
  </si>
  <si>
    <t>Mãe (50)</t>
  </si>
  <si>
    <t>Caldo de Cana, Hollow Knight</t>
  </si>
  <si>
    <t>Brawn Stars, aniversário nilcea, salgado</t>
  </si>
  <si>
    <t>Uber ida e volta</t>
  </si>
  <si>
    <t>Desodorante, Pasta de Dente, Suco (3,80)</t>
  </si>
  <si>
    <t>Calças chimpa e gastos diversos</t>
  </si>
  <si>
    <t>17,50 (Enrolado e refrigerante) + 34 (Sanduiche)</t>
  </si>
  <si>
    <t>15 (Metade da internet mãe) + 10 (Mãe) + 3,50 (Refrigerante)</t>
  </si>
  <si>
    <t>3,80 (Suco) + 24 (Uber Volta) + 26 (despedida walquiria) + 30 (internet)</t>
  </si>
  <si>
    <t>Mãe (100), Relaxante de cabelo (30), Salgado (5)</t>
  </si>
  <si>
    <t>Ida no Cinema, Almoço 2 dias e Mãe</t>
  </si>
  <si>
    <t>Internet (30), Sorvete (15), Suco (3,80), 142 (Geladeira)</t>
  </si>
  <si>
    <t>Passagem, Cartão de passagem</t>
  </si>
  <si>
    <t>Doce, Refrigerante</t>
  </si>
  <si>
    <t>Presente Victória, Corte de cabelo</t>
  </si>
  <si>
    <t>Macarrão na Chapa, Mãe Uber Natale (90)</t>
  </si>
  <si>
    <t>Lanche a noite</t>
  </si>
  <si>
    <t>Suposição de gastos</t>
  </si>
  <si>
    <t>Dia do Mês</t>
  </si>
  <si>
    <t>Dia da Semana</t>
  </si>
  <si>
    <t>Receitas</t>
  </si>
  <si>
    <t>Informação adicional</t>
  </si>
  <si>
    <t>Valor Gasto</t>
  </si>
  <si>
    <t>Valor Faturado</t>
  </si>
  <si>
    <t>Salário</t>
  </si>
  <si>
    <t>Pastel</t>
  </si>
  <si>
    <t>Sorvete / Bonificação</t>
  </si>
  <si>
    <t>Sheila</t>
  </si>
  <si>
    <t>Guarda roupa</t>
  </si>
  <si>
    <t>Geladeira</t>
  </si>
  <si>
    <t>Bonificação</t>
  </si>
  <si>
    <t>(Adiantamento)</t>
  </si>
  <si>
    <t>Lanche (50) + camisa UV (38) / Bonificação</t>
  </si>
  <si>
    <t>Paçoca, Pastel e Suco em dias diversos</t>
  </si>
  <si>
    <t>Almoço restaurante (27), Internet (30)</t>
  </si>
  <si>
    <t>Terça-feira</t>
  </si>
  <si>
    <t>Camisa Uv Azul, Internet</t>
  </si>
  <si>
    <t>Remuneração Estoque</t>
  </si>
  <si>
    <t>Aluguel, Almoço / Bonificação</t>
  </si>
  <si>
    <t>Sanduiche, Sorvete</t>
  </si>
  <si>
    <t>3 Pastas de Dente, Vitamina</t>
  </si>
  <si>
    <t>Transporte Geladeira Mãe (250) ; Edmar (20)</t>
  </si>
  <si>
    <t>Edmar (20) / Bonificação</t>
  </si>
  <si>
    <t>Refrigerante (7,50), caneta (1,50)</t>
  </si>
  <si>
    <t>Adiantamento</t>
  </si>
  <si>
    <t>Suco, Refrigerante</t>
  </si>
  <si>
    <t>Doces, Sanduiche / Bonificação</t>
  </si>
  <si>
    <t>Crunchyroll / Gustavo Crunchyroll</t>
  </si>
  <si>
    <t>Suco</t>
  </si>
  <si>
    <t>Cachorro quente (ingredientes) / Bonificação</t>
  </si>
  <si>
    <t>Lanche</t>
  </si>
  <si>
    <t>Lanche, Caneta p - vitória / Bonificação</t>
  </si>
  <si>
    <t>Sexta-Feira</t>
  </si>
  <si>
    <t>Supermercado / Bonificação</t>
  </si>
  <si>
    <t>Corte de Cabelo</t>
  </si>
  <si>
    <t>Aluguel / Remuneração Estoque</t>
  </si>
  <si>
    <t>Bolo / Salário</t>
  </si>
  <si>
    <t>Ventilador aniversário Mãe</t>
  </si>
  <si>
    <t>Calça / Adiantamento</t>
  </si>
  <si>
    <t>Pão de queijo</t>
  </si>
  <si>
    <t>Uber</t>
  </si>
  <si>
    <t>Supermercado</t>
  </si>
  <si>
    <t>Crunchyroll</t>
  </si>
  <si>
    <t>Mãe (10), Refrigerante / Bonificação</t>
  </si>
  <si>
    <t>Refrigerante nataly</t>
  </si>
  <si>
    <t>13° salário</t>
  </si>
  <si>
    <t>Fone, Internet (30), Milshake (26)</t>
  </si>
  <si>
    <t>Domingo</t>
  </si>
  <si>
    <t>Rodízio</t>
  </si>
  <si>
    <t>Salário + Bonificação (20)</t>
  </si>
  <si>
    <t>Aluguel / Remuneração estoque</t>
  </si>
  <si>
    <t>Lanche / Bonificação (20)</t>
  </si>
  <si>
    <t>Geladeira, Guarda Roupa, Produtos Rede</t>
  </si>
  <si>
    <t>Sorvete / Adiantamento</t>
  </si>
  <si>
    <t>Crunchyroll Gustavo</t>
  </si>
  <si>
    <t>Mãe / Bonificação</t>
  </si>
  <si>
    <t>toalha</t>
  </si>
  <si>
    <t xml:space="preserve">Mãe (100), jogo mãe </t>
  </si>
  <si>
    <t>Kit Churrasco</t>
  </si>
  <si>
    <t>Janeiro</t>
  </si>
  <si>
    <t>Pix</t>
  </si>
  <si>
    <t>Dinheiro F</t>
  </si>
  <si>
    <t>Cartão</t>
  </si>
  <si>
    <t>Total</t>
  </si>
  <si>
    <t>Despesa Total 2025</t>
  </si>
  <si>
    <t>Receita Total 2025</t>
  </si>
  <si>
    <t>Saldo Total 2025</t>
  </si>
  <si>
    <t>Despesa</t>
  </si>
  <si>
    <t>Fevereiro</t>
  </si>
  <si>
    <t>Semana 1</t>
  </si>
  <si>
    <t>Semana 2</t>
  </si>
  <si>
    <t>-</t>
  </si>
  <si>
    <t>Saldo da semana</t>
  </si>
  <si>
    <t>Semana 3</t>
  </si>
  <si>
    <t>Semana 4</t>
  </si>
  <si>
    <t>Semana 5</t>
  </si>
  <si>
    <t>Saldo Geral</t>
  </si>
  <si>
    <t>Mês</t>
  </si>
  <si>
    <t>Semana</t>
  </si>
  <si>
    <t>Saida</t>
  </si>
  <si>
    <t>Meio</t>
  </si>
  <si>
    <t>Informação</t>
  </si>
  <si>
    <t>Entrada</t>
  </si>
  <si>
    <t>Presente Gustavo</t>
  </si>
  <si>
    <t>Calça Moletom</t>
  </si>
  <si>
    <t>Estoque</t>
  </si>
  <si>
    <t>Limpeza Marquize</t>
  </si>
  <si>
    <t>Camisa Uv</t>
  </si>
  <si>
    <t>Sorvete Mãe</t>
  </si>
  <si>
    <t>Uber Gustavo</t>
  </si>
  <si>
    <t>Pizza (Mãe)</t>
  </si>
  <si>
    <t>Lanches</t>
  </si>
  <si>
    <t>Chocolates</t>
  </si>
  <si>
    <t>Pão e Forma e suco</t>
  </si>
  <si>
    <t>Quinta-feira</t>
  </si>
  <si>
    <t>Estácio</t>
  </si>
  <si>
    <t>Refrigerante</t>
  </si>
  <si>
    <t>Presente mãe</t>
  </si>
  <si>
    <t>Passagens, sorvete, lanches</t>
  </si>
  <si>
    <t>Carteira Definitiva</t>
  </si>
  <si>
    <t>Escova de Dente</t>
  </si>
  <si>
    <t>Presente Edmar</t>
  </si>
  <si>
    <t>Remédios</t>
  </si>
  <si>
    <t>Lanche Acumulado</t>
  </si>
  <si>
    <t xml:space="preserve">Lanche </t>
  </si>
  <si>
    <t>Sanduiche</t>
  </si>
  <si>
    <t>Pasta de Dente</t>
  </si>
  <si>
    <t>Pão de Queijo</t>
  </si>
  <si>
    <t>Salgado</t>
  </si>
  <si>
    <t>Desodorante</t>
  </si>
  <si>
    <t>Computador (Metade)</t>
  </si>
  <si>
    <t>Free lancer</t>
  </si>
  <si>
    <t>Lanches, sorvete</t>
  </si>
  <si>
    <t>Internet &amp; Crunchyroll</t>
  </si>
  <si>
    <t>Teatro dos finais infelizes</t>
  </si>
  <si>
    <t>Plano de vida</t>
  </si>
  <si>
    <t>Acerto</t>
  </si>
  <si>
    <t>Porta Copos</t>
  </si>
  <si>
    <t>Corte de cabelo</t>
  </si>
  <si>
    <t>Ida a Estacio</t>
  </si>
  <si>
    <t>Sorvete / Pães</t>
  </si>
  <si>
    <t>Metrô</t>
  </si>
  <si>
    <t>Multa recisória</t>
  </si>
  <si>
    <t>TG</t>
  </si>
  <si>
    <t>Sexta-feira</t>
  </si>
  <si>
    <t>Minas Shopping a pé</t>
  </si>
  <si>
    <t>Passagem</t>
  </si>
  <si>
    <t>Uber e Lanche Abertura Estácio</t>
  </si>
  <si>
    <t>Camera presente Victória</t>
  </si>
  <si>
    <t>Seguro desemprego</t>
  </si>
  <si>
    <t>Mensalidade Estácio</t>
  </si>
  <si>
    <t>Filme presente Victória</t>
  </si>
  <si>
    <t>Frutas em geral</t>
  </si>
  <si>
    <t>Leite, Refrigerante</t>
  </si>
  <si>
    <t>Segunda-feira</t>
  </si>
  <si>
    <t>Hollow Knight Silksong</t>
  </si>
  <si>
    <t>Ida a Sheila e Desodorante</t>
  </si>
  <si>
    <t>Estacio</t>
  </si>
  <si>
    <t>Sacolão</t>
  </si>
  <si>
    <t>Picolé</t>
  </si>
  <si>
    <t>Ingressos cinema</t>
  </si>
  <si>
    <t>Ida ao cinema</t>
  </si>
  <si>
    <t>Seguro</t>
  </si>
  <si>
    <t>Frutas e leite</t>
  </si>
  <si>
    <t>Presente luciano</t>
  </si>
  <si>
    <t>Frutas</t>
  </si>
  <si>
    <t>Ajuda Lucas</t>
  </si>
  <si>
    <t>Leite</t>
  </si>
  <si>
    <t>Uber lucas</t>
  </si>
  <si>
    <t>Ida ao Boliche</t>
  </si>
  <si>
    <t>Padaria</t>
  </si>
  <si>
    <t>Luciano</t>
  </si>
  <si>
    <t>Auto Escola Moto</t>
  </si>
  <si>
    <t>Epa</t>
  </si>
  <si>
    <t>Presente Mãe powerbank</t>
  </si>
  <si>
    <t>Internet, Uber e futebol</t>
  </si>
  <si>
    <t>Auto Escola e lanche</t>
  </si>
  <si>
    <t>Café</t>
  </si>
  <si>
    <t>Passagem + Presente natale</t>
  </si>
  <si>
    <t>Seguro (4/5)</t>
  </si>
  <si>
    <t>Uber e Epa</t>
  </si>
  <si>
    <t>Headfone</t>
  </si>
  <si>
    <t>Capacete e Internet</t>
  </si>
  <si>
    <t>Auto Escola moto</t>
  </si>
  <si>
    <t>Constance</t>
  </si>
  <si>
    <t>Estoque (150), Bonificação</t>
  </si>
  <si>
    <t>Mãe (50), Crunchyroll 2 meses</t>
  </si>
  <si>
    <t>Anuidade Caixa</t>
  </si>
  <si>
    <t>Calça Mãe (56), Lanche</t>
  </si>
  <si>
    <t>Pão</t>
  </si>
  <si>
    <t>Lojas Rede</t>
  </si>
  <si>
    <t>Limpeza da marquise</t>
  </si>
  <si>
    <t>Clube</t>
  </si>
  <si>
    <t>Ifood</t>
  </si>
  <si>
    <t>Plano funerário</t>
  </si>
  <si>
    <t>Presente Sheila</t>
  </si>
  <si>
    <t>Mãe (Carne)</t>
  </si>
  <si>
    <t>Sábado</t>
  </si>
  <si>
    <t>Uber Fernanda</t>
  </si>
  <si>
    <t>Enrolado</t>
  </si>
  <si>
    <t>Tenis</t>
  </si>
  <si>
    <t>Bombom</t>
  </si>
  <si>
    <t>Tênis</t>
  </si>
  <si>
    <t>Cinto</t>
  </si>
  <si>
    <t>Guarda Roupa</t>
  </si>
  <si>
    <t>Horas extras</t>
  </si>
  <si>
    <t>Carreto (Mãe)</t>
  </si>
  <si>
    <t>Meias</t>
  </si>
  <si>
    <t>Presente Nívia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</si>
</sst>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dd/MM/yyyy"/>
  </numFmts>
  <fonts count="1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9.0"/>
      <color rgb="FF000000"/>
      <name val="&quot;Google Sans Mono&quot;"/>
    </font>
    <font>
      <sz val="11.0"/>
      <color rgb="FF000000"/>
      <name val="Calibri"/>
    </font>
    <font>
      <sz val="11.0"/>
      <color rgb="FF000000"/>
      <name val="Docs-Calibri"/>
    </font>
    <font>
      <sz val="15.0"/>
      <color theme="1"/>
      <name val="Pacifico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i/>
      <color theme="1"/>
      <name val="Arial"/>
      <scheme val="minor"/>
    </font>
    <font>
      <b/>
      <i/>
      <color theme="1"/>
      <name val="Arial"/>
    </font>
    <font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5FFF6"/>
        <bgColor rgb="FFC5FFF6"/>
      </patternFill>
    </fill>
    <fill>
      <patternFill patternType="solid">
        <fgColor rgb="FFF96262"/>
        <bgColor rgb="FFF96262"/>
      </patternFill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0" fontId="4" numFmtId="164" xfId="0" applyBorder="1" applyFont="1" applyNumberFormat="1"/>
    <xf borderId="1" fillId="5" fontId="4" numFmtId="164" xfId="0" applyAlignment="1" applyBorder="1" applyFont="1" applyNumberFormat="1">
      <alignment readingOrder="0"/>
    </xf>
    <xf borderId="1" fillId="3" fontId="5" numFmtId="164" xfId="0" applyAlignment="1" applyBorder="1" applyFont="1" applyNumberFormat="1">
      <alignment horizontal="center"/>
    </xf>
    <xf borderId="1" fillId="4" fontId="5" numFmtId="164" xfId="0" applyAlignment="1" applyBorder="1" applyFont="1" applyNumberFormat="1">
      <alignment horizontal="center"/>
    </xf>
    <xf borderId="1" fillId="5" fontId="5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readingOrder="0"/>
    </xf>
    <xf borderId="0" fillId="6" fontId="6" numFmtId="0" xfId="0" applyFill="1" applyFont="1"/>
    <xf borderId="1" fillId="7" fontId="7" numFmtId="165" xfId="0" applyAlignment="1" applyBorder="1" applyFill="1" applyFont="1" applyNumberFormat="1">
      <alignment horizontal="right" readingOrder="0" shrinkToFit="0" vertical="bottom" wrapText="0"/>
    </xf>
    <xf borderId="1" fillId="7" fontId="7" numFmtId="0" xfId="0" applyAlignment="1" applyBorder="1" applyFont="1">
      <alignment horizontal="center" readingOrder="0" shrinkToFit="0" wrapText="0"/>
    </xf>
    <xf borderId="1" fillId="7" fontId="7" numFmtId="164" xfId="0" applyAlignment="1" applyBorder="1" applyFont="1" applyNumberFormat="1">
      <alignment horizontal="center" readingOrder="0" shrinkToFit="0" wrapText="0"/>
    </xf>
    <xf borderId="1" fillId="7" fontId="7" numFmtId="0" xfId="0" applyAlignment="1" applyBorder="1" applyFont="1">
      <alignment readingOrder="0" shrinkToFit="0" vertical="bottom" wrapText="0"/>
    </xf>
    <xf borderId="0" fillId="0" fontId="4" numFmtId="164" xfId="0" applyFont="1" applyNumberFormat="1"/>
    <xf borderId="1" fillId="7" fontId="7" numFmtId="0" xfId="0" applyAlignment="1" applyBorder="1" applyFont="1">
      <alignment shrinkToFit="0" vertical="bottom" wrapText="0"/>
    </xf>
    <xf borderId="1" fillId="7" fontId="7" numFmtId="0" xfId="0" applyAlignment="1" applyBorder="1" applyFont="1">
      <alignment horizontal="center" readingOrder="0" shrinkToFit="0" vertical="bottom" wrapText="0"/>
    </xf>
    <xf borderId="1" fillId="7" fontId="7" numFmtId="164" xfId="0" applyAlignment="1" applyBorder="1" applyFont="1" applyNumberFormat="1">
      <alignment horizontal="center" readingOrder="0" shrinkToFit="0" vertical="bottom" wrapText="0"/>
    </xf>
    <xf borderId="1" fillId="4" fontId="4" numFmtId="164" xfId="0" applyAlignment="1" applyBorder="1" applyFont="1" applyNumberFormat="1">
      <alignment horizontal="center" readingOrder="0"/>
    </xf>
    <xf borderId="1" fillId="5" fontId="4" numFmtId="164" xfId="0" applyBorder="1" applyFont="1" applyNumberFormat="1"/>
    <xf borderId="1" fillId="7" fontId="7" numFmtId="164" xfId="0" applyAlignment="1" applyBorder="1" applyFont="1" applyNumberFormat="1">
      <alignment readingOrder="0" shrinkToFit="0" vertical="bottom" wrapText="0"/>
    </xf>
    <xf borderId="1" fillId="7" fontId="7" numFmtId="164" xfId="0" applyAlignment="1" applyBorder="1" applyFont="1" applyNumberFormat="1">
      <alignment shrinkToFit="0" vertical="bottom" wrapText="0"/>
    </xf>
    <xf borderId="0" fillId="7" fontId="8" numFmtId="0" xfId="0" applyAlignment="1" applyFont="1">
      <alignment horizontal="center" readingOrder="0"/>
    </xf>
    <xf borderId="1" fillId="7" fontId="7" numFmtId="164" xfId="0" applyAlignment="1" applyBorder="1" applyFont="1" applyNumberFormat="1">
      <alignment horizontal="center" shrinkToFit="0" vertical="bottom" wrapText="0"/>
    </xf>
    <xf borderId="1" fillId="8" fontId="9" numFmtId="0" xfId="0" applyAlignment="1" applyBorder="1" applyFill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/>
    </xf>
    <xf borderId="1" fillId="9" fontId="2" numFmtId="0" xfId="0" applyAlignment="1" applyBorder="1" applyFill="1" applyFont="1">
      <alignment readingOrder="0"/>
    </xf>
    <xf borderId="1" fillId="3" fontId="4" numFmtId="0" xfId="0" applyAlignment="1" applyBorder="1" applyFont="1">
      <alignment horizontal="center" readingOrder="0"/>
    </xf>
    <xf borderId="1" fillId="8" fontId="4" numFmtId="16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center"/>
    </xf>
    <xf borderId="1" fillId="0" fontId="11" numFmtId="164" xfId="0" applyAlignment="1" applyBorder="1" applyFont="1" applyNumberFormat="1">
      <alignment horizontal="center"/>
    </xf>
    <xf borderId="1" fillId="4" fontId="4" numFmtId="0" xfId="0" applyAlignment="1" applyBorder="1" applyFont="1">
      <alignment horizontal="center" readingOrder="0"/>
    </xf>
    <xf borderId="0" fillId="0" fontId="12" numFmtId="164" xfId="0" applyFont="1" applyNumberFormat="1"/>
    <xf borderId="1" fillId="8" fontId="4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1" fillId="0" fontId="11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bottom"/>
    </xf>
    <xf borderId="2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0" fontId="4" numFmtId="0" xfId="0" applyBorder="1" applyFont="1"/>
    <xf borderId="3" fillId="0" fontId="13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5" fontId="15" numFmtId="0" xfId="0" applyAlignment="1" applyBorder="1" applyFont="1">
      <alignment horizontal="center" readingOrder="0"/>
    </xf>
    <xf borderId="3" fillId="0" fontId="14" numFmtId="165" xfId="0" applyAlignment="1" applyBorder="1" applyFont="1" applyNumberFormat="1">
      <alignment horizontal="center" readingOrder="0" vertical="bottom"/>
    </xf>
    <xf borderId="4" fillId="0" fontId="14" numFmtId="164" xfId="0" applyAlignment="1" applyBorder="1" applyFont="1" applyNumberFormat="1">
      <alignment horizontal="center" readingOrder="0" vertical="bottom"/>
    </xf>
    <xf borderId="4" fillId="5" fontId="16" numFmtId="0" xfId="0" applyAlignment="1" applyBorder="1" applyFont="1">
      <alignment horizontal="center" readingOrder="0" vertical="bottom"/>
    </xf>
    <xf borderId="0" fillId="0" fontId="17" numFmtId="164" xfId="0" applyFont="1" applyNumberFormat="1"/>
    <xf borderId="1" fillId="5" fontId="4" numFmtId="164" xfId="0" applyAlignment="1" applyBorder="1" applyFont="1" applyNumberFormat="1">
      <alignment horizontal="center" readingOrder="0"/>
    </xf>
    <xf borderId="4" fillId="5" fontId="14" numFmtId="164" xfId="0" applyAlignment="1" applyBorder="1" applyFont="1" applyNumberFormat="1">
      <alignment horizontal="center" readingOrder="0" vertical="bottom"/>
    </xf>
    <xf borderId="3" fillId="0" fontId="13" numFmtId="0" xfId="0" applyAlignment="1" applyBorder="1" applyFont="1">
      <alignment horizontal="center" vertical="bottom"/>
    </xf>
    <xf borderId="4" fillId="0" fontId="14" numFmtId="164" xfId="0" applyAlignment="1" applyBorder="1" applyFont="1" applyNumberFormat="1">
      <alignment horizontal="center" vertical="bottom"/>
    </xf>
    <xf borderId="4" fillId="5" fontId="16" numFmtId="0" xfId="0" applyAlignment="1" applyBorder="1" applyFont="1">
      <alignment horizontal="center" vertical="bottom"/>
    </xf>
    <xf borderId="4" fillId="5" fontId="14" numFmtId="164" xfId="0" applyAlignment="1" applyBorder="1" applyFont="1" applyNumberFormat="1">
      <alignment horizontal="center" vertical="bottom"/>
    </xf>
    <xf borderId="1" fillId="10" fontId="15" numFmtId="0" xfId="0" applyAlignment="1" applyBorder="1" applyFill="1" applyFont="1">
      <alignment horizontal="center" readingOrder="0"/>
    </xf>
    <xf borderId="1" fillId="10" fontId="15" numFmtId="164" xfId="0" applyAlignment="1" applyBorder="1" applyFont="1" applyNumberFormat="1">
      <alignment horizontal="center"/>
    </xf>
    <xf borderId="2" fillId="0" fontId="14" numFmtId="164" xfId="0" applyAlignment="1" applyBorder="1" applyFont="1" applyNumberFormat="1">
      <alignment vertical="bottom"/>
    </xf>
    <xf borderId="4" fillId="0" fontId="14" numFmtId="164" xfId="0" applyAlignment="1" applyBorder="1" applyFont="1" applyNumberFormat="1">
      <alignment vertical="bottom"/>
    </xf>
    <xf borderId="1" fillId="8" fontId="11" numFmtId="0" xfId="0" applyAlignment="1" applyBorder="1" applyFont="1">
      <alignment horizontal="center" readingOrder="0"/>
    </xf>
    <xf borderId="1" fillId="8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5" fontId="15" numFmtId="164" xfId="0" applyAlignment="1" applyBorder="1" applyFont="1" applyNumberFormat="1">
      <alignment horizontal="center" readingOrder="0"/>
    </xf>
    <xf borderId="1" fillId="9" fontId="11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 readingOrder="0"/>
    </xf>
    <xf borderId="1" fillId="8" fontId="13" numFmtId="0" xfId="0" applyAlignment="1" applyBorder="1" applyFont="1">
      <alignment horizontal="center" vertical="bottom"/>
    </xf>
    <xf borderId="1" fillId="8" fontId="14" numFmtId="165" xfId="0" applyAlignment="1" applyBorder="1" applyFont="1" applyNumberFormat="1">
      <alignment horizontal="center" readingOrder="0" vertical="bottom"/>
    </xf>
    <xf borderId="1" fillId="8" fontId="14" numFmtId="0" xfId="0" applyAlignment="1" applyBorder="1" applyFont="1">
      <alignment horizontal="center" readingOrder="0" vertical="bottom"/>
    </xf>
    <xf borderId="1" fillId="8" fontId="14" numFmtId="164" xfId="0" applyAlignment="1" applyBorder="1" applyFont="1" applyNumberFormat="1">
      <alignment horizontal="center" vertical="bottom"/>
    </xf>
    <xf borderId="1" fillId="8" fontId="14" numFmtId="164" xfId="0" applyAlignment="1" applyBorder="1" applyFont="1" applyNumberFormat="1">
      <alignment horizontal="center" readingOrder="0" vertical="bottom"/>
    </xf>
    <xf borderId="1" fillId="8" fontId="13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5FFF6"/>
          <bgColor rgb="FFC5FFF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5.png"/><Relationship Id="rId4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5.png"/><Relationship Id="rId4" Type="http://schemas.openxmlformats.org/officeDocument/2006/relationships/image" Target="../media/image5.png"/><Relationship Id="rId5" Type="http://schemas.openxmlformats.org/officeDocument/2006/relationships/image" Target="../media/image10.png"/><Relationship Id="rId6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Relationship Id="rId3" Type="http://schemas.openxmlformats.org/officeDocument/2006/relationships/image" Target="../media/image10.png"/><Relationship Id="rId4" Type="http://schemas.openxmlformats.org/officeDocument/2006/relationships/image" Target="../media/image13.png"/><Relationship Id="rId5" Type="http://schemas.openxmlformats.org/officeDocument/2006/relationships/image" Target="../media/image15.png"/><Relationship Id="rId6" Type="http://schemas.openxmlformats.org/officeDocument/2006/relationships/image" Target="../media/image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Relationship Id="rId3" Type="http://schemas.openxmlformats.org/officeDocument/2006/relationships/image" Target="../media/image10.png"/><Relationship Id="rId4" Type="http://schemas.openxmlformats.org/officeDocument/2006/relationships/image" Target="../media/image12.png"/><Relationship Id="rId5" Type="http://schemas.openxmlformats.org/officeDocument/2006/relationships/image" Target="../media/image5.png"/><Relationship Id="rId6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9</xdr:row>
      <xdr:rowOff>19050</xdr:rowOff>
    </xdr:from>
    <xdr:ext cx="6934200" cy="4314825"/>
    <xdr:pic>
      <xdr:nvPicPr>
        <xdr:cNvPr id="9141736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180975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25</xdr:row>
      <xdr:rowOff>180975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25</xdr:row>
      <xdr:rowOff>85725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25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180975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25</xdr:row>
      <xdr:rowOff>180975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25</xdr:row>
      <xdr:rowOff>85725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25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180975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25</xdr:row>
      <xdr:rowOff>180975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25</xdr:row>
      <xdr:rowOff>85725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25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180975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25</xdr:row>
      <xdr:rowOff>180975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25</xdr:row>
      <xdr:rowOff>85725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25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180975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25</xdr:row>
      <xdr:rowOff>180975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25</xdr:row>
      <xdr:rowOff>85725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25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8403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0</xdr:row>
      <xdr:rowOff>0</xdr:rowOff>
    </xdr:from>
    <xdr:ext cx="4152900" cy="828675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4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14</xdr:row>
      <xdr:rowOff>190500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14</xdr:row>
      <xdr:rowOff>190500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619125</xdr:colOff>
      <xdr:row>14</xdr:row>
      <xdr:rowOff>142875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647700</xdr:colOff>
      <xdr:row>14</xdr:row>
      <xdr:rowOff>114300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25</xdr:row>
      <xdr:rowOff>180975</xdr:rowOff>
    </xdr:from>
    <xdr:ext cx="2886075" cy="400050"/>
    <xdr:pic>
      <xdr:nvPicPr>
        <xdr:cNvPr id="0" name="image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25</xdr:row>
      <xdr:rowOff>180975</xdr:rowOff>
    </xdr:from>
    <xdr:ext cx="2886075" cy="4000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657225</xdr:colOff>
      <xdr:row>25</xdr:row>
      <xdr:rowOff>85725</xdr:rowOff>
    </xdr:from>
    <xdr:ext cx="1724025" cy="647700"/>
    <xdr:pic>
      <xdr:nvPicPr>
        <xdr:cNvPr id="0" name="image3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25</xdr:row>
      <xdr:rowOff>114300</xdr:rowOff>
    </xdr:from>
    <xdr:ext cx="1724025" cy="590550"/>
    <xdr:pic>
      <xdr:nvPicPr>
        <xdr:cNvPr id="0" name="image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0" cy="99060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0</xdr:row>
      <xdr:rowOff>28575</xdr:rowOff>
    </xdr:from>
    <xdr:ext cx="4086225" cy="914400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914400</xdr:colOff>
      <xdr:row>1</xdr:row>
      <xdr:rowOff>209550</xdr:rowOff>
    </xdr:from>
    <xdr:ext cx="4848225" cy="790575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467350" cy="1000125"/>
    <xdr:pic>
      <xdr:nvPicPr>
        <xdr:cNvPr id="0" name="image10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133350</xdr:colOff>
      <xdr:row>1</xdr:row>
      <xdr:rowOff>38100</xdr:rowOff>
    </xdr:from>
    <xdr:ext cx="4152900" cy="847725"/>
    <xdr:pic>
      <xdr:nvPicPr>
        <xdr:cNvPr id="0" name="image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0</xdr:row>
      <xdr:rowOff>0</xdr:rowOff>
    </xdr:from>
    <xdr:ext cx="4495800" cy="91440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0</xdr:row>
      <xdr:rowOff>38100</xdr:rowOff>
    </xdr:from>
    <xdr:ext cx="4495800" cy="914400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190500</xdr:rowOff>
    </xdr:from>
    <xdr:ext cx="4848225" cy="790575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0</xdr:row>
      <xdr:rowOff>209550</xdr:rowOff>
    </xdr:from>
    <xdr:ext cx="4152900" cy="84772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923925</xdr:colOff>
      <xdr:row>0</xdr:row>
      <xdr:rowOff>0</xdr:rowOff>
    </xdr:from>
    <xdr:ext cx="5000625" cy="1000125"/>
    <xdr:pic>
      <xdr:nvPicPr>
        <xdr:cNvPr id="0" name="image10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0</xdr:row>
      <xdr:rowOff>28575</xdr:rowOff>
    </xdr:from>
    <xdr:ext cx="4495800" cy="91440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00625" cy="1000125"/>
    <xdr:pic>
      <xdr:nvPicPr>
        <xdr:cNvPr id="0" name="image1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00625" cy="10001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24525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86350" cy="10001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00625" cy="10001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00625" cy="10001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00625" cy="10001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62600" cy="9906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200025</xdr:rowOff>
    </xdr:from>
    <xdr:ext cx="4848225" cy="790575"/>
    <xdr:pic>
      <xdr:nvPicPr>
        <xdr:cNvPr id="0" name="image1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5000625" cy="1000125"/>
    <xdr:pic>
      <xdr:nvPicPr>
        <xdr:cNvPr id="0" name="image9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0</xdr:row>
      <xdr:rowOff>38100</xdr:rowOff>
    </xdr:from>
    <xdr:ext cx="4495800" cy="914400"/>
    <xdr:pic>
      <xdr:nvPicPr>
        <xdr:cNvPr id="0" name="image1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</xdr:row>
      <xdr:rowOff>19050</xdr:rowOff>
    </xdr:from>
    <xdr:ext cx="4152900" cy="847725"/>
    <xdr:pic>
      <xdr:nvPicPr>
        <xdr:cNvPr id="0" name="image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0</xdr:row>
      <xdr:rowOff>0</xdr:rowOff>
    </xdr:from>
    <xdr:ext cx="4495800" cy="914400"/>
    <xdr:pic>
      <xdr:nvPicPr>
        <xdr:cNvPr id="0" name="image14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29225" cy="1000125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0</xdr:row>
      <xdr:rowOff>0</xdr:rowOff>
    </xdr:from>
    <xdr:ext cx="4086225" cy="914400"/>
    <xdr:pic>
      <xdr:nvPicPr>
        <xdr:cNvPr id="0" name="image1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952500</xdr:colOff>
      <xdr:row>0</xdr:row>
      <xdr:rowOff>0</xdr:rowOff>
    </xdr:from>
    <xdr:ext cx="5153025" cy="1000125"/>
    <xdr:pic>
      <xdr:nvPicPr>
        <xdr:cNvPr id="0" name="image1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266700</xdr:colOff>
      <xdr:row>0</xdr:row>
      <xdr:rowOff>47625</xdr:rowOff>
    </xdr:from>
    <xdr:ext cx="4495800" cy="914400"/>
    <xdr:pic>
      <xdr:nvPicPr>
        <xdr:cNvPr id="0" name="image1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</xdr:row>
      <xdr:rowOff>190500</xdr:rowOff>
    </xdr:from>
    <xdr:ext cx="4848225" cy="790575"/>
    <xdr:pic>
      <xdr:nvPicPr>
        <xdr:cNvPr id="0" name="image15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1</xdr:row>
      <xdr:rowOff>19050</xdr:rowOff>
    </xdr:from>
    <xdr:ext cx="4152900" cy="847725"/>
    <xdr:pic>
      <xdr:nvPicPr>
        <xdr:cNvPr id="0" name="image8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-19050</xdr:rowOff>
    </xdr:from>
    <xdr:ext cx="5229225" cy="1000125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</xdr:row>
      <xdr:rowOff>9525</xdr:rowOff>
    </xdr:from>
    <xdr:ext cx="4848225" cy="790575"/>
    <xdr:pic>
      <xdr:nvPicPr>
        <xdr:cNvPr id="0" name="image1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942975</xdr:colOff>
      <xdr:row>0</xdr:row>
      <xdr:rowOff>0</xdr:rowOff>
    </xdr:from>
    <xdr:ext cx="5467350" cy="1000125"/>
    <xdr:pic>
      <xdr:nvPicPr>
        <xdr:cNvPr id="0" name="image1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0</xdr:rowOff>
    </xdr:from>
    <xdr:ext cx="4086225" cy="914400"/>
    <xdr:pic>
      <xdr:nvPicPr>
        <xdr:cNvPr id="0" name="image1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</xdr:row>
      <xdr:rowOff>57150</xdr:rowOff>
    </xdr:from>
    <xdr:ext cx="4152900" cy="847725"/>
    <xdr:pic>
      <xdr:nvPicPr>
        <xdr:cNvPr id="0" name="image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0</xdr:row>
      <xdr:rowOff>0</xdr:rowOff>
    </xdr:from>
    <xdr:ext cx="4495800" cy="91440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-19050</xdr:rowOff>
    </xdr:from>
    <xdr:ext cx="5229225" cy="1000125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923925</xdr:colOff>
      <xdr:row>2</xdr:row>
      <xdr:rowOff>9525</xdr:rowOff>
    </xdr:from>
    <xdr:ext cx="4848225" cy="790575"/>
    <xdr:pic>
      <xdr:nvPicPr>
        <xdr:cNvPr id="0" name="image1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942975</xdr:colOff>
      <xdr:row>0</xdr:row>
      <xdr:rowOff>0</xdr:rowOff>
    </xdr:from>
    <xdr:ext cx="5467350" cy="1000125"/>
    <xdr:pic>
      <xdr:nvPicPr>
        <xdr:cNvPr id="0" name="image10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0</xdr:row>
      <xdr:rowOff>0</xdr:rowOff>
    </xdr:from>
    <xdr:ext cx="4086225" cy="914400"/>
    <xdr:pic>
      <xdr:nvPicPr>
        <xdr:cNvPr id="0" name="image1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</xdr:row>
      <xdr:rowOff>57150</xdr:rowOff>
    </xdr:from>
    <xdr:ext cx="4152900" cy="847725"/>
    <xdr:pic>
      <xdr:nvPicPr>
        <xdr:cNvPr id="0" name="image8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0</xdr:row>
      <xdr:rowOff>0</xdr:rowOff>
    </xdr:from>
    <xdr:ext cx="4495800" cy="914400"/>
    <xdr:pic>
      <xdr:nvPicPr>
        <xdr:cNvPr id="0" name="image13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Kauan Batista (Water Storn)" id="{95a46d93-859d-4837-a205-e2e539bcc9b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3" dT="2026-01-15T09:52:28.00" personId="{95a46d93-859d-4837-a205-e2e539bcc9b1}" id="{4034144d-dc51-4061-8f3d-84d0e1f7348d}" done="0">
    <x18tc:text xml:space="preserve">Evento Pxg</x18tc:text>
  </x18tc:threadedComment>
  <x18tc:threadedComment ref="K14" dT="2026-01-15T09:53:10.00" personId="{95a46d93-859d-4837-a205-e2e539bcc9b1}" id="{a553386d-169d-432c-80b4-0253596d197f}" done="0">
    <x18tc:text xml:space="preserve">Fatura Cartão (Internet, etc)</x18tc:text>
  </x18tc:threadedComment>
  <x18tc:threadedComment ref="L14" dT="2026-01-15T09:53:30.00" personId="{95a46d93-859d-4837-a205-e2e539bcc9b1}" id="{0573d15d-4355-4aa9-a5bb-58a405216b5a}" done="0">
    <x18tc:text xml:space="preserve">Corte de cabelo</x18tc:text>
  </x18tc:threadedComment>
  <x18tc:threadedComment ref="C24" dT="2026-02-19T22:22:31.00" personId="{95a46d93-859d-4837-a205-e2e539bcc9b1}" id="{8db47fe6-7e92-4f75-a806-fa2f788680e3}" done="0">
    <x18tc:text xml:space="preserve">Uber</x18tc:text>
  </x18tc:threadedComment>
  <x18tc:threadedComment ref="E30" dT="2026-02-19T22:27:18.00" personId="{95a46d93-859d-4837-a205-e2e539bcc9b1}" id="{62312bc9-d0b6-47b2-b3d5-96bdb2390333}" done="0">
    <x18tc:text xml:space="preserve">Free lancer Vivest</x18tc:text>
  </x18tc:threadedComment>
  <x18tc:threadedComment ref="B31" dT="2026-02-19T22:27:03.00" personId="{95a46d93-859d-4837-a205-e2e539bcc9b1}" id="{1219e161-104c-49d4-bff1-8e8545c4cd93}" done="0">
    <x18tc:text xml:space="preserve">Lanches durante free lancer</x18tc:text>
  </x18tc:threadedComment>
  <x18tc:threadedComment ref="D24" dT="2026-02-19T22:23:06.00" personId="{95a46d93-859d-4837-a205-e2e539bcc9b1}" id="{dc12bfcb-57a9-456a-9245-4e91a04c8daf}" done="0">
    <x18tc:text xml:space="preserve">Sorvete</x18tc:text>
  </x18tc:threadedComment>
  <x18tc:threadedComment ref="E31" dT="2026-02-19T22:27:29.00" personId="{95a46d93-859d-4837-a205-e2e539bcc9b1}" id="{6a27b271-6b38-480b-8d71-95807e6d7deb}" done="0">
    <x18tc:text xml:space="preserve">Free lancer Vivest</x18tc:text>
  </x18tc:threadedComment>
  <x18tc:threadedComment ref="B23" dT="2026-02-19T22:23:32.00" personId="{95a46d93-859d-4837-a205-e2e539bcc9b1}" id="{2b402cf5-12b9-4ee0-891c-ad9873991257}" done="0">
    <x18tc:text xml:space="preserve">Aluguel</x18tc:text>
  </x18tc:threadedComment>
  <x18tc:threadedComment ref="D10" dT="2026-01-15T09:48:27.00" personId="{95a46d93-859d-4837-a205-e2e539bcc9b1}" id="{f70bdec6-9d52-4078-a670-52fd5117a35b}" done="0">
    <x18tc:text xml:space="preserve">Uber</x18tc:text>
  </x18tc:threadedComment>
  <x18tc:threadedComment ref="B10" dT="2026-01-15T09:48:39.00" personId="{95a46d93-859d-4837-a205-e2e539bcc9b1}" id="{bbab3cad-ac83-4936-aed9-73a66309f55c}" done="0">
    <x18tc:text xml:space="preserve">Uber</x18tc:text>
  </x18tc:threadedComment>
  <x18tc:threadedComment ref="C10" dT="2026-01-15T09:48:55.00" personId="{95a46d93-859d-4837-a205-e2e539bcc9b1}" id="{e385f622-812d-4052-a5f3-af1f71c1612f}" done="0">
    <x18tc:text xml:space="preserve">Lanche Shopping delrey</x18tc:text>
  </x18tc:threadedComment>
  <x18tc:threadedComment ref="B13" dT="2026-01-15T09:49:22.00" personId="{95a46d93-859d-4837-a205-e2e539bcc9b1}" id="{d9123881-7b85-4543-a2a9-d58553d51f5f}" done="0">
    <x18tc:text xml:space="preserve">Estacio</x18tc:text>
  </x18tc:threadedComment>
  <x18tc:threadedComment ref="K12" dT="2026-01-15T09:52:14.00" personId="{95a46d93-859d-4837-a205-e2e539bcc9b1}" id="{e5f294bd-a1a0-4dfc-95d8-055cf75e98af}" done="0">
    <x18tc:text xml:space="preserve">Aulas Auto Escola</x18tc:text>
  </x18tc:threadedComment>
  <x18tc:threadedComment ref="B22" dT="2026-02-19T22:21:03.00" personId="{95a46d93-859d-4837-a205-e2e539bcc9b1}" id="{da7852d3-a280-4c43-a389-c8d71fdc3915}" done="0">
    <x18tc:text xml:space="preserve">Padaria</x18tc:text>
  </x18tc:threadedComment>
  <x18tc:threadedComment ref="C22" dT="2026-02-19T22:21:56.00" personId="{95a46d93-859d-4837-a205-e2e539bcc9b1}" id="{f24fd75b-11b7-4f9a-b809-42d374467100}" done="0">
    <x18tc:text xml:space="preserve">Auto escola (Remarcação exame)</x18tc:text>
  </x18tc:threadedComment>
  <x18tc:threadedComment ref="B30" dT="2026-02-19T22:26:45.00" personId="{95a46d93-859d-4837-a205-e2e539bcc9b1}" id="{f82a06dd-ec04-4b22-9b1c-a3e7166d2c27}" done="0">
    <x18tc:text xml:space="preserve">Lanches durante free lancer</x18tc:text>
  </x18tc:threadedComment>
  <x18tc:threadedComment ref="B24" dT="2026-02-19T22:23:44.00" personId="{95a46d93-859d-4837-a205-e2e539bcc9b1}" id="{782e5efa-289f-46ee-8007-b9e1b67b3479}" done="0">
    <x18tc:text xml:space="preserve">Taxa da pista</x18tc:text>
  </x18tc:threadedComment>
  <x18tc:threadedComment ref="D22" dT="2026-02-19T22:24:22.00" personId="{95a46d93-859d-4837-a205-e2e539bcc9b1}" id="{3adbca06-3296-459f-b1ff-2f82bf4e3cde}" done="0">
    <x18tc:text xml:space="preserve">Capa de chuva (Moto)</x18tc:text>
  </x18tc:threadedComment>
  <x18tc:threadedComment ref="B19" dT="2026-02-19T22:19:18.00" personId="{95a46d93-859d-4837-a205-e2e539bcc9b1}" id="{04e33b2b-c7cf-4804-aebd-423c3be8fcf3}" done="0">
    <x18tc:text xml:space="preserve">TG</x18tc:text>
  </x18tc:threadedComment>
  <x18tc:threadedComment ref="E24" dT="2026-02-19T22:24:08.00" personId="{95a46d93-859d-4837-a205-e2e539bcc9b1}" id="{c5c77384-3ffc-4871-bf45-1a64742f3c86}" done="0">
    <x18tc:text xml:space="preserve">Ajuda Lucas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2" dT="2026-02-19T22:31:54.00" personId="{95a46d93-859d-4837-a205-e2e539bcc9b1}" id="{fe892bbc-8028-4959-abdd-671e1184c52a}" done="0">
    <x18tc:text xml:space="preserve">Taxa do Kart</x18tc:text>
  </x18tc:threadedComment>
  <x18tc:threadedComment ref="K13" dT="2026-02-19T22:31:09.00" personId="{95a46d93-859d-4837-a205-e2e539bcc9b1}" id="{4e64520b-1d99-4358-ae0d-7b0512e797cc}" done="0">
    <x18tc:text xml:space="preserve">Taxa da pista</x18tc:text>
  </x18tc:threadedComment>
  <x18tc:threadedComment ref="M13" dT="2026-02-19T22:31:33.00" personId="{95a46d93-859d-4837-a205-e2e539bcc9b1}" id="{bde1552b-43b7-438b-a07b-497c6434f1c0}" done="0">
    <x18tc:text xml:space="preserve">Uber</x18tc:text>
  </x18tc:threadedComment>
  <x18tc:threadedComment ref="L13" dT="2026-02-19T22:31:22.00" personId="{95a46d93-859d-4837-a205-e2e539bcc9b1}" id="{9727bc5f-139c-4f24-83a2-aec202106c72}" done="0">
    <x18tc:text xml:space="preserve">Lanches durante exame</x18tc:text>
  </x18tc:threadedComment>
  <x18tc:threadedComment ref="K22" dT="2026-06-07T12:58:19.00" personId="{95a46d93-859d-4837-a205-e2e539bcc9b1}" id="{90bdcea6-755e-4d01-9c35-98e07abffe07}" done="0">
    <x18tc:text xml:space="preserve">Mãe</x18tc:text>
  </x18tc:threadedComment>
  <x18tc:threadedComment ref="B23" dT="2026-06-07T12:56:25.00" personId="{95a46d93-859d-4837-a205-e2e539bcc9b1}" id="{b6526736-552a-4080-9501-875db66ac4b1}" done="0">
    <x18tc:text xml:space="preserve">Metro, lanches e almoço</x18tc:text>
  </x18tc:threadedComment>
  <x18tc:threadedComment ref="L9" dT="2026-02-19T22:29:57.00" personId="{95a46d93-859d-4837-a205-e2e539bcc9b1}" id="{03105675-fab6-48b6-9056-1182503f29b2}" done="0">
    <x18tc:text xml:space="preserve">Fatura Cartão</x18tc:text>
  </x18tc:threadedComment>
  <x18tc:threadedComment ref="B9" dT="2026-02-19T22:29:22.00" personId="{95a46d93-859d-4837-a205-e2e539bcc9b1}" id="{ce506c78-33ee-47fb-9d53-9191f159319c}" done="0">
    <x18tc:text xml:space="preserve">Aulas Auto escola</x18tc:text>
  </x18tc:threadedComment>
  <x18tc:threadedComment ref="K24" dT="2026-06-07T12:59:47.00" personId="{95a46d93-859d-4837-a205-e2e539bcc9b1}" id="{d707b53c-3b8c-45de-bd54-6a088a628753}" done="0">
    <x18tc:text xml:space="preserve">Uber e lanche</x18tc:text>
  </x18tc:threadedComment>
  <x18tc:threadedComment ref="K23" dT="2026-06-07T12:59:02.00" personId="{95a46d93-859d-4837-a205-e2e539bcc9b1}" id="{c334c9fc-1885-445f-ab5a-952d31f06853}" done="0">
    <x18tc:text xml:space="preserve">Pão de queijo</x18tc:text>
  </x18tc:threadedComment>
  <x18tc:threadedComment ref="K9" dT="2026-02-19T22:29:48.00" personId="{95a46d93-859d-4837-a205-e2e539bcc9b1}" id="{6c7443fc-7a8a-4413-82ce-605b18ae73cd}" done="0">
    <x18tc:text xml:space="preserve">Estacio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" dT="2026-06-07T13:00:53.00" personId="{95a46d93-859d-4837-a205-e2e539bcc9b1}" id="{4a8c23fc-74f3-4ce3-8bf1-81fa86e1a593}" done="0">
    <x18tc:text xml:space="preserve">Mãe</x18tc:text>
  </x18tc:threadedComment>
  <x18tc:threadedComment ref="K20" dT="2026-06-07T13:04:25.00" personId="{95a46d93-859d-4837-a205-e2e539bcc9b1}" id="{ea5522dd-fd12-407d-aa7b-6a42149e0bbb}" done="0">
    <x18tc:text xml:space="preserve">Mãe (30) e lanches</x18tc:text>
  </x18tc:threadedComment>
  <x18tc:threadedComment ref="B13" dT="2026-06-07T13:00:41.00" personId="{95a46d93-859d-4837-a205-e2e539bcc9b1}" id="{795e5f08-71c2-4a03-8541-8533353fa1b5}" done="0">
    <x18tc:text xml:space="preserve">Lanche</x18tc:text>
  </x18tc:threadedComment>
  <x18tc:threadedComment ref="K19" dT="2026-06-07T13:03:54.00" personId="{95a46d93-859d-4837-a205-e2e539bcc9b1}" id="{42dc86c5-df66-46c5-8d98-b3097b6e3521}" done="0">
    <x18tc:text xml:space="preserve">Uber e lanches</x18tc:text>
  </x18tc:threadedComment>
  <x18tc:threadedComment ref="K23" dT="2026-06-07T13:05:15.00" personId="{95a46d93-859d-4837-a205-e2e539bcc9b1}" id="{bbf2f70b-f1b5-4983-9eae-b88fb47dc36b}" done="0">
    <x18tc:text xml:space="preserve">Mãe</x18tc:text>
  </x18tc:threadedComment>
  <x18tc:threadedComment ref="K21" dT="2026-06-07T13:05:05.00" personId="{95a46d93-859d-4837-a205-e2e539bcc9b1}" id="{da0e0e7a-f2d9-4696-a948-54fa0729a5e1}" done="0">
    <x18tc:text xml:space="preserve">Lanche e Passagens</x18tc:text>
  </x18tc:threadedComment>
  <x18tc:threadedComment ref="B30" dT="2026-06-07T13:05:45.00" personId="{95a46d93-859d-4837-a205-e2e539bcc9b1}" id="{0c45a56b-e293-4fe3-bf8e-b7f8ca7fe35c}" done="0">
    <x18tc:text xml:space="preserve">Mãe</x18tc:text>
  </x18tc:threadedComment>
  <x18tc:threadedComment ref="B29" dT="2026-06-07T13:05:27.00" personId="{95a46d93-859d-4837-a205-e2e539bcc9b1}" id="{3482c549-392c-4783-b981-aef79ed81a4a}" done="0">
    <x18tc:text xml:space="preserve">Mãe</x18tc:text>
  </x18tc:threadedComment>
  <x18tc:threadedComment ref="B19" dT="2026-06-07T13:02:10.00" personId="{95a46d93-859d-4837-a205-e2e539bcc9b1}" id="{1f79ac2f-935a-4559-8705-4f442ec5bcf5}" done="0">
    <x18tc:text xml:space="preserve">Auto escola</x18tc:text>
  </x18tc:threadedComment>
  <x18tc:threadedComment ref="C20" dT="2026-06-07T13:02:32.00" personId="{95a46d93-859d-4837-a205-e2e539bcc9b1}" id="{299645b8-7f35-4f9f-8dfc-3df7aeadf230}" done="0">
    <x18tc:text xml:space="preserve">Auto escola</x18tc:text>
  </x18tc:threadedComment>
  <x18tc:threadedComment ref="B20" dT="2026-06-07T13:02:21.00" personId="{95a46d93-859d-4837-a205-e2e539bcc9b1}" id="{0320bc67-6ced-4e89-8353-1196dc182101}" done="0">
    <x18tc:text xml:space="preserve">Lanche</x18tc:text>
  </x18tc:threadedComment>
  <x18tc:threadedComment ref="B12" dT="2026-06-07T13:00:22.00" personId="{95a46d93-859d-4837-a205-e2e539bcc9b1}" id="{79a2f032-ef04-42db-9f56-5583a353419b}" done="0">
    <x18tc:text xml:space="preserve">Mãe</x18tc:text>
  </x18tc:threadedComment>
  <x18tc:threadedComment ref="B22" dT="2026-06-07T13:03:02.00" personId="{95a46d93-859d-4837-a205-e2e539bcc9b1}" id="{bf376f1b-470f-49b0-bde4-7fbef7eb3d10}" done="0">
    <x18tc:text xml:space="preserve">Internet e afins</x18tc:text>
  </x18tc:threadedComment>
  <x18tc:threadedComment ref="B9" dT="2026-06-07T13:00:11.00" personId="{95a46d93-859d-4837-a205-e2e539bcc9b1}" id="{67554f12-f2e0-4fb0-a947-e26eff2bf577}" done="0">
    <x18tc:text xml:space="preserve">Auto escola</x18tc:text>
  </x18tc:threadedComment>
  <x18tc:threadedComment ref="B21" dT="2026-06-07T13:02:43.00" personId="{95a46d93-859d-4837-a205-e2e539bcc9b1}" id="{9bd4f90d-f834-4d63-9d02-d13775faa580}" done="0">
    <x18tc:text xml:space="preserve">Lanche</x18tc:text>
  </x18tc:threadedComment>
  <x18tc:threadedComment ref="K14" dT="2026-06-07T13:01:56.00" personId="{95a46d93-859d-4837-a205-e2e539bcc9b1}" id="{baa67a8a-4b64-4cc2-a3d1-3c76f526c973}" done="0">
    <x18tc:text xml:space="preserve">Lanche</x18tc:text>
  </x18tc:threadedComment>
  <x18tc:threadedComment ref="L9" dT="2026-06-07T13:01:33.00" personId="{95a46d93-859d-4837-a205-e2e539bcc9b1}" id="{66344945-2858-4a64-bc45-ea3befe1c447}" done="0">
    <x18tc:text xml:space="preserve">Estacio</x18tc:text>
  </x18tc:threadedComment>
  <x18tc:threadedComment ref="K9" dT="2026-06-07T13:01:19.00" personId="{95a46d93-859d-4837-a205-e2e539bcc9b1}" id="{7d784c71-d1e1-493b-af79-ee02e89c9331}" done="0">
    <x18tc:text xml:space="preserve">Amazon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4" dT="2026-06-07T13:21:54.00" personId="{95a46d93-859d-4837-a205-e2e539bcc9b1}" id="{c22be7b4-f536-4e99-b7b7-0f527dbd4bf7}" done="0">
    <x18tc:text xml:space="preserve">Lanche</x18tc:text>
  </x18tc:threadedComment>
  <x18tc:threadedComment ref="K21" dT="2026-06-07T13:21:42.00" personId="{95a46d93-859d-4837-a205-e2e539bcc9b1}" id="{17eb635e-2dd4-4217-8e6d-b602828f1a78}" done="0">
    <x18tc:text xml:space="preserve">Mãe</x18tc:text>
  </x18tc:threadedComment>
  <x18tc:threadedComment ref="D14" dT="2026-06-07T13:09:34.00" personId="{95a46d93-859d-4837-a205-e2e539bcc9b1}" id="{fef28788-b790-4db4-8af0-84d4432a453e}" done="0">
    <x18tc:text xml:space="preserve">Lanche</x18tc:text>
  </x18tc:threadedComment>
  <x18tc:threadedComment ref="K9" dT="2026-06-07T13:09:58.00" personId="{95a46d93-859d-4837-a205-e2e539bcc9b1}" id="{9b2df83b-71bd-4281-8c95-e6a650a2de47}" done="0">
    <x18tc:text xml:space="preserve">Amazon</x18tc:text>
  </x18tc:threadedComment>
  <x18tc:threadedComment ref="K8" dT="2026-06-07T13:09:42.00" personId="{95a46d93-859d-4837-a205-e2e539bcc9b1}" id="{184cda5c-e2c4-41fb-8971-0736e52abde9}" done="0">
    <x18tc:text xml:space="preserve">Lanche</x18tc:text>
  </x18tc:threadedComment>
  <x18tc:threadedComment ref="K12" dT="2026-06-07T13:12:19.00" personId="{95a46d93-859d-4837-a205-e2e539bcc9b1}" id="{75459763-2da4-4cf3-8c0f-aaeb894dae1e}" done="0">
    <x18tc:text xml:space="preserve">Sorvetes</x18tc:text>
  </x18tc:threadedComment>
  <x18tc:threadedComment ref="K10" dT="2026-06-07T13:12:04.00" personId="{95a46d93-859d-4837-a205-e2e539bcc9b1}" id="{b7f089c7-30cf-4c1f-9339-3349d6551b88}" done="0">
    <x18tc:text xml:space="preserve">Saida com gustavo + Ingressos digital circus</x18tc:text>
  </x18tc:threadedComment>
  <x18tc:threadedComment ref="C14" dT="2026-06-07T13:09:24.00" personId="{95a46d93-859d-4837-a205-e2e539bcc9b1}" id="{302d9f85-0046-4cba-a962-cb64cc614b51}" done="0">
    <x18tc:text xml:space="preserve">Internet e afins</x18tc:text>
  </x18tc:threadedComment>
  <x18tc:threadedComment ref="B14" dT="2026-06-07T13:08:00.00" personId="{95a46d93-859d-4837-a205-e2e539bcc9b1}" id="{af739fdd-5898-4b89-8c9b-14b14a9ac754}" done="0">
    <x18tc:text xml:space="preserve">Estacio</x18tc:text>
  </x18tc:threadedComment>
  <x18tc:threadedComment ref="K18" dT="2026-06-07T13:21:32.00" personId="{95a46d93-859d-4837-a205-e2e539bcc9b1}" id="{030ee88f-873d-411b-9822-64d76067228e}" done="0">
    <x18tc:text xml:space="preserve">Chocolate</x18tc:text>
  </x18tc:threadedComment>
  <x18tc:threadedComment ref="E13" dT="2026-06-07T13:07:48.00" personId="{95a46d93-859d-4837-a205-e2e539bcc9b1}" id="{58c653b8-6bae-4056-b0ad-996c94c69d40}" done="0">
    <x18tc:text xml:space="preserve">Mãe</x18tc:text>
  </x18tc:threadedComment>
  <x18tc:threadedComment ref="K13" dT="2026-06-07T13:14:50.00" personId="{95a46d93-859d-4837-a205-e2e539bcc9b1}" id="{2583a6fe-c34a-4f65-bff0-0c201aa3a0be}" done="0">
    <x18tc:text xml:space="preserve">Caixa anuidade</x18tc:text>
  </x18tc:threadedComment>
  <x18tc:threadedComment ref="B13" dT="2026-06-07T13:07:41.00" personId="{95a46d93-859d-4837-a205-e2e539bcc9b1}" id="{b1206ab5-3e40-474a-a7e4-c5082de626f7}" done="0">
    <x18tc:text xml:space="preserve">Amazon</x18tc:text>
  </x18tc:threadedComment>
  <x18tc:threadedComment ref="N12" dT="2026-06-07T13:12:25.00" personId="{95a46d93-859d-4837-a205-e2e539bcc9b1}" id="{b728f22e-82a7-4181-aaa6-4396bdb8bb68}" done="0">
    <x18tc:text xml:space="preserve">Mãe</x18tc:text>
  </x18tc:threadedComment>
  <x18tc:threadedComment ref="B8" dT="2026-06-07T13:07:27.00" personId="{95a46d93-859d-4837-a205-e2e539bcc9b1}" id="{11ffda48-3a5a-41ac-9f6c-3a9b3983b4ff}" done="0">
    <x18tc:text xml:space="preserve">Lanche</x18tc:text>
  </x18tc:threadedComment>
  <x18tc:threadedComment ref="B29" dT="2026-06-07T13:23:36.00" personId="{95a46d93-859d-4837-a205-e2e539bcc9b1}" id="{300b1df7-7768-4997-833f-9ee59247024f}" done="0">
    <x18tc:text xml:space="preserve">Passagem</x18tc:text>
  </x18tc:threadedComment>
  <x18tc:threadedComment ref="K14" dT="2026-06-07T13:15:01.00" personId="{95a46d93-859d-4837-a205-e2e539bcc9b1}" id="{e7ade200-c312-4f6f-a1bc-5954e768940b}" done="0">
    <x18tc:text xml:space="preserve">Passagem</x18tc:text>
  </x18tc:threadedComment>
  <x18tc:threadedComment ref="E29" dT="2026-06-07T13:23:47.00" personId="{95a46d93-859d-4837-a205-e2e539bcc9b1}" id="{e4281043-e23b-4d10-929f-2200cf0480ee}" done="0">
    <x18tc:text xml:space="preserve">Mãe</x18tc:text>
  </x18tc:threadedComment>
  <x18tc:threadedComment ref="B19" dT="2026-06-07T13:15:25.00" personId="{95a46d93-859d-4837-a205-e2e539bcc9b1}" id="{ef14e202-b522-4ec2-b724-a7ca2e368bce}" done="0">
    <x18tc:text xml:space="preserve">Mãe</x18tc:text>
  </x18tc:threadedComment>
  <x18tc:threadedComment ref="C29" dT="2026-06-07T13:23:42.00" personId="{95a46d93-859d-4837-a205-e2e539bcc9b1}" id="{bfa424f8-df2d-4c20-8be9-52e0434c1a6a}" done="0">
    <x18tc:text xml:space="preserve">Lanche</x18tc:text>
  </x18tc:threadedComment>
  <x18tc:threadedComment ref="B18" dT="2026-06-07T13:15:13.00" personId="{95a46d93-859d-4837-a205-e2e539bcc9b1}" id="{d1673658-f7aa-4706-889d-b6e6f9404b96}" done="0">
    <x18tc:text xml:space="preserve">Lanches</x18tc:text>
  </x18tc:threadedComment>
  <x18tc:threadedComment ref="B23" dT="2026-06-07T13:16:46.00" personId="{95a46d93-859d-4837-a205-e2e539bcc9b1}" id="{a30169c0-c0f8-4157-953d-f7529a312345}" done="0">
    <x18tc:text xml:space="preserve">Aluguel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4" dT="2026-06-07T13:37:38.00" personId="{95a46d93-859d-4837-a205-e2e539bcc9b1}" id="{a0bf3395-9e34-47b2-91ce-70b17b5e1dbc}" done="0">
    <x18tc:text xml:space="preserve">Luciano</x18tc:text>
  </x18tc:threadedComment>
  <x18tc:threadedComment ref="B24" dT="2026-06-07T13:37:32.00" personId="{95a46d93-859d-4837-a205-e2e539bcc9b1}" id="{a6859e1b-1e55-4f77-a300-f8e1add00e01}" done="0">
    <x18tc:text xml:space="preserve">Arvorismo</x18tc:text>
  </x18tc:threadedComment>
  <x18tc:threadedComment ref="C23" dT="2026-06-07T13:37:14.00" personId="{95a46d93-859d-4837-a205-e2e539bcc9b1}" id="{00469098-2719-4050-898c-22c7347290cc}" done="0">
    <x18tc:text xml:space="preserve">Pasta de dente</x18tc:text>
  </x18tc:threadedComment>
  <x18tc:threadedComment ref="K24" dT="2026-06-07T13:42:55.00" personId="{95a46d93-859d-4837-a205-e2e539bcc9b1}" id="{361625f3-720e-4e04-8f8d-4d6607e654be}" done="0">
    <x18tc:text xml:space="preserve">Fita</x18tc:text>
  </x18tc:threadedComment>
  <x18tc:threadedComment ref="N24" dT="2026-06-07T13:43:02.00" personId="{95a46d93-859d-4837-a205-e2e539bcc9b1}" id="{d7ceba52-6d81-4dca-920e-636a6b725333}" done="0">
    <x18tc:text xml:space="preserve">Fita</x18tc:text>
  </x18tc:threadedComment>
  <x18tc:threadedComment ref="B20" dT="2026-06-07T13:28:35.00" personId="{95a46d93-859d-4837-a205-e2e539bcc9b1}" id="{6d8c61c1-37f3-4b02-8095-abe6cf1dcb78}" done="0">
    <x18tc:text xml:space="preserve">Sorvete</x18tc:text>
  </x18tc:threadedComment>
  <x18tc:threadedComment ref="K12" dT="2026-06-07T13:25:20.00" personId="{95a46d93-859d-4837-a205-e2e539bcc9b1}" id="{2b1bfbf8-6b34-425e-b651-cbe5e2b5e2ec}" done="0">
    <x18tc:text xml:space="preserve">Lanche</x18tc:text>
  </x18tc:threadedComment>
  <x18tc:threadedComment ref="K23" dT="2026-06-07T13:38:41.00" personId="{95a46d93-859d-4837-a205-e2e539bcc9b1}" id="{7bda752e-e0b6-47e6-860f-0203f6c65d3b}" done="0">
    <x18tc:text xml:space="preserve">Lanche</x18tc:text>
  </x18tc:threadedComment>
  <x18tc:threadedComment ref="B21" dT="2026-06-07T13:32:23.00" personId="{95a46d93-859d-4837-a205-e2e539bcc9b1}" id="{7421b202-9491-461b-aa75-3779964490c9}" done="0">
    <x18tc:text xml:space="preserve">Caixa</x18tc:text>
  </x18tc:threadedComment>
  <x18tc:threadedComment ref="L22" dT="2026-06-07T13:38:04.00" personId="{95a46d93-859d-4837-a205-e2e539bcc9b1}" id="{59bfca4e-0314-4304-bb1c-b4ee9db817b5}" done="0">
    <x18tc:text xml:space="preserve">Passagem</x18tc:text>
  </x18tc:threadedComment>
  <x18tc:threadedComment ref="B22" dT="2026-06-07T13:34:04.00" personId="{95a46d93-859d-4837-a205-e2e539bcc9b1}" id="{d11fe05f-9267-409b-8560-aef288c9fb6f}" done="0">
    <x18tc:text xml:space="preserve">Lanche</x18tc:text>
  </x18tc:threadedComment>
  <x18tc:threadedComment ref="C21" dT="2026-06-07T13:32:39.00" personId="{95a46d93-859d-4837-a205-e2e539bcc9b1}" id="{af7a2ccb-ed2b-44cf-82be-075afecc390a}" done="0">
    <x18tc:text xml:space="preserve">Lanche</x18tc:text>
  </x18tc:threadedComment>
  <x18tc:threadedComment ref="D23" dT="2026-06-07T13:37:09.00" personId="{95a46d93-859d-4837-a205-e2e539bcc9b1}" id="{39eeb2fe-6509-49c6-b0ba-4b0b184d11c7}" done="0">
    <x18tc:text xml:space="preserve">Lanche</x18tc:text>
  </x18tc:threadedComment>
  <x18tc:threadedComment ref="B23" dT="2026-06-07T13:36:01.00" personId="{95a46d93-859d-4837-a205-e2e539bcc9b1}" id="{4e53617f-9a2e-4b34-b2cb-03663c0d93bb}" done="0">
    <x18tc:text xml:space="preserve">Aluguel</x18tc:text>
  </x18tc:threadedComment>
  <x18tc:threadedComment ref="K22" dT="2026-06-07T13:37:58.00" personId="{95a46d93-859d-4837-a205-e2e539bcc9b1}" id="{1102b35a-e883-4fcf-a98e-f054bff85d72}" done="0">
    <x18tc:text xml:space="preserve">Mãe</x18tc:text>
  </x18tc:threadedComment>
  <x18tc:threadedComment ref="K11" dT="2026-06-07T13:24:28.00" personId="{95a46d93-859d-4837-a205-e2e539bcc9b1}" id="{1f098e8d-2297-494a-b31e-4e7dc63a0585}" done="0">
    <x18tc:text xml:space="preserve">Internet e afins</x18tc:text>
  </x18tc:threadedComment>
  <x18tc:threadedComment ref="K10" dT="2026-06-07T13:24:16.00" personId="{95a46d93-859d-4837-a205-e2e539bcc9b1}" id="{42bf7eda-2267-43e8-bdd4-68d624c19b74}" done="0">
    <x18tc:text xml:space="preserve">Estacio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6-07T13:46:53.00" personId="{95a46d93-859d-4837-a205-e2e539bcc9b1}" id="{b6815e37-3b3c-4e9b-a919-378bd2c2e136}" done="0">
    <x18tc:text xml:space="preserve">Digital circus no cinema</x18tc:text>
  </x18tc:threadedComment>
  <x18tc:threadedComment ref="B8" dT="2026-06-07T13:44:47.00" personId="{95a46d93-859d-4837-a205-e2e539bcc9b1}" id="{359a4528-93d9-4e95-b1ec-77880ff758fa}" done="0">
    <x18tc:text xml:space="preserve">Lanche</x18tc:text>
  </x18tc:threadedComment>
  <x18tc:threadedComment ref="B10" dT="2026-06-07T13:45:43.00" personId="{95a46d93-859d-4837-a205-e2e539bcc9b1}" id="{686e2de9-0003-4f3d-991a-861e7671f1fc}" done="0">
    <x18tc:text xml:space="preserve">Passagem</x18tc:text>
  </x18tc:threadedComment>
  <x18tc:threadedComment ref="E8" dT="2026-06-07T13:44:51.00" personId="{95a46d93-859d-4837-a205-e2e539bcc9b1}" id="{7c4b9277-95ab-4571-8feb-3e4f9ac68472}" done="0">
    <x18tc:text xml:space="preserve">Mãe</x18tc:text>
  </x18tc:threadedComment>
  <x18tc:threadedComment ref="E13" dT="2026-06-07T13:47:16.00" personId="{95a46d93-859d-4837-a205-e2e539bcc9b1}" id="{bf5d49de-7e9b-4218-b3f6-2fe7c1f7b716}" done="0">
    <x18tc:text xml:space="preserve">Luciano</x18tc:text>
  </x18tc:threadedComment>
  <x18tc:threadedComment ref="E11" dT="2026-06-07T13:47:00.00" personId="{95a46d93-859d-4837-a205-e2e539bcc9b1}" id="{81568f94-05d3-4654-8309-466338e1e8d9}" done="0">
    <x18tc:text xml:space="preserve">Gustavo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5.13"/>
    <col customWidth="1" min="6" max="6" width="22.5"/>
    <col customWidth="1" min="7" max="7" width="21.13"/>
    <col customWidth="1" min="8" max="8" width="1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F1" s="5" t="s">
        <v>4</v>
      </c>
      <c r="G1" s="6" t="s">
        <v>5</v>
      </c>
      <c r="H1" s="7" t="s">
        <v>6</v>
      </c>
    </row>
    <row r="2">
      <c r="A2" s="8" t="s">
        <v>7</v>
      </c>
      <c r="B2" s="9">
        <f>('Março'!E1)</f>
        <v>1962.12</v>
      </c>
      <c r="C2" s="9">
        <v>2162.0</v>
      </c>
      <c r="D2" s="10">
        <f t="shared" ref="D2:D11" si="2">C2-B2</f>
        <v>199.88</v>
      </c>
      <c r="F2" s="11">
        <f t="shared" ref="F2:H2" si="1">SUM(B2:B11)</f>
        <v>14220.44</v>
      </c>
      <c r="G2" s="12">
        <f t="shared" si="1"/>
        <v>19693</v>
      </c>
      <c r="H2" s="13">
        <f t="shared" si="1"/>
        <v>5472.56</v>
      </c>
    </row>
    <row r="3">
      <c r="A3" s="8" t="s">
        <v>8</v>
      </c>
      <c r="B3" s="9">
        <f>(Abril!E1)</f>
        <v>1676.33</v>
      </c>
      <c r="C3" s="9">
        <v>1876.0</v>
      </c>
      <c r="D3" s="10">
        <f t="shared" si="2"/>
        <v>199.67</v>
      </c>
    </row>
    <row r="4">
      <c r="A4" s="8" t="s">
        <v>9</v>
      </c>
      <c r="B4" s="9">
        <f>(Maio!E1)</f>
        <v>1305.83</v>
      </c>
      <c r="C4" s="9">
        <v>1505.0</v>
      </c>
      <c r="D4" s="10">
        <f t="shared" si="2"/>
        <v>199.17</v>
      </c>
    </row>
    <row r="5">
      <c r="A5" s="8" t="s">
        <v>10</v>
      </c>
      <c r="B5" s="9">
        <f>(Junho!E1)</f>
        <v>1372</v>
      </c>
      <c r="C5" s="9">
        <v>1572.0</v>
      </c>
      <c r="D5" s="10">
        <f t="shared" si="2"/>
        <v>200</v>
      </c>
    </row>
    <row r="6">
      <c r="A6" s="8" t="s">
        <v>11</v>
      </c>
      <c r="B6" s="9">
        <f>(Julho!E1)</f>
        <v>1330.9</v>
      </c>
      <c r="C6" s="14">
        <v>1830.0</v>
      </c>
      <c r="D6" s="10">
        <f t="shared" si="2"/>
        <v>499.1</v>
      </c>
    </row>
    <row r="7">
      <c r="A7" s="8" t="s">
        <v>12</v>
      </c>
      <c r="B7" s="9">
        <f>(Agosto!E1)</f>
        <v>1355.3</v>
      </c>
      <c r="C7" s="9">
        <v>1555.0</v>
      </c>
      <c r="D7" s="10">
        <f t="shared" si="2"/>
        <v>199.7</v>
      </c>
    </row>
    <row r="8">
      <c r="A8" s="8" t="s">
        <v>13</v>
      </c>
      <c r="B8" s="9">
        <f>(Setembro!F2)</f>
        <v>1213.5</v>
      </c>
      <c r="C8" s="9">
        <f>(Setembro!G2)</f>
        <v>1661</v>
      </c>
      <c r="D8" s="10">
        <f t="shared" si="2"/>
        <v>447.5</v>
      </c>
      <c r="E8" s="15"/>
    </row>
    <row r="9">
      <c r="A9" s="8" t="s">
        <v>14</v>
      </c>
      <c r="B9" s="9">
        <f>(Outubro!F2)</f>
        <v>1427</v>
      </c>
      <c r="C9" s="9">
        <f>(Outubro!G2)</f>
        <v>1979</v>
      </c>
      <c r="D9" s="10">
        <f t="shared" si="2"/>
        <v>552</v>
      </c>
    </row>
    <row r="10">
      <c r="A10" s="8" t="s">
        <v>15</v>
      </c>
      <c r="B10" s="9">
        <f>(Novembro!F2)</f>
        <v>1080.34</v>
      </c>
      <c r="C10" s="9">
        <f>(Novembro!G2)</f>
        <v>2859</v>
      </c>
      <c r="D10" s="10">
        <f t="shared" si="2"/>
        <v>1778.66</v>
      </c>
    </row>
    <row r="11">
      <c r="A11" s="8" t="s">
        <v>16</v>
      </c>
      <c r="B11" s="9">
        <f>(Dezembro!F2)</f>
        <v>1497.12</v>
      </c>
      <c r="C11" s="9">
        <f>(Dezembro!G2)</f>
        <v>2694</v>
      </c>
      <c r="D11" s="10">
        <f t="shared" si="2"/>
        <v>1196.88</v>
      </c>
    </row>
  </sheetData>
  <conditionalFormatting sqref="C2:C7">
    <cfRule type="notContainsBlanks" dxfId="0" priority="1">
      <formula>LEN(TRIM(C2))&gt;0</formula>
    </cfRule>
  </conditionalFormatting>
  <conditionalFormatting sqref="C8:C11">
    <cfRule type="notContainsBlanks" dxfId="0" priority="2">
      <formula>LEN(TRIM(C8))&gt;0</formula>
    </cfRule>
  </conditionalFormatting>
  <conditionalFormatting sqref="E8">
    <cfRule type="notContainsBlanks" dxfId="0" priority="3">
      <formula>LEN(TRIM(E8))&gt;0</formula>
    </cfRule>
  </conditionalFormatting>
  <conditionalFormatting sqref="B2:B11">
    <cfRule type="cellIs" dxfId="1" priority="4" operator="greaterThanOrEqual">
      <formula>1589</formula>
    </cfRule>
  </conditionalFormatting>
  <conditionalFormatting sqref="B2:B11">
    <cfRule type="cellIs" dxfId="0" priority="5" operator="lessThanOrEqual">
      <formula>999</formula>
    </cfRule>
  </conditionalFormatting>
  <conditionalFormatting sqref="B2:B11">
    <cfRule type="cellIs" dxfId="2" priority="6" operator="between">
      <formula>1577</formula>
      <formula>1000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3.13"/>
  </cols>
  <sheetData>
    <row r="1">
      <c r="A1" s="16">
        <v>45352.0</v>
      </c>
      <c r="B1" s="17" t="s">
        <v>17</v>
      </c>
      <c r="C1" s="18">
        <v>5.5</v>
      </c>
      <c r="D1" s="19" t="s">
        <v>18</v>
      </c>
      <c r="E1" s="20">
        <f>SUM(C1:C31)</f>
        <v>1962.12</v>
      </c>
    </row>
    <row r="2">
      <c r="A2" s="16">
        <v>45353.0</v>
      </c>
      <c r="B2" s="17" t="s">
        <v>19</v>
      </c>
      <c r="C2" s="18">
        <v>0.0</v>
      </c>
      <c r="D2" s="19" t="s">
        <v>20</v>
      </c>
    </row>
    <row r="3">
      <c r="A3" s="16">
        <v>45354.0</v>
      </c>
      <c r="B3" s="17" t="s">
        <v>21</v>
      </c>
      <c r="C3" s="18">
        <v>18.88</v>
      </c>
      <c r="D3" s="19" t="s">
        <v>22</v>
      </c>
    </row>
    <row r="4">
      <c r="A4" s="16">
        <v>45355.0</v>
      </c>
      <c r="B4" s="17" t="s">
        <v>23</v>
      </c>
      <c r="C4" s="18">
        <v>4.5</v>
      </c>
      <c r="D4" s="19" t="s">
        <v>24</v>
      </c>
    </row>
    <row r="5">
      <c r="A5" s="16">
        <v>45356.0</v>
      </c>
      <c r="B5" s="17" t="s">
        <v>25</v>
      </c>
      <c r="C5" s="18">
        <v>0.0</v>
      </c>
      <c r="D5" s="21"/>
    </row>
    <row r="6">
      <c r="A6" s="16">
        <v>45357.0</v>
      </c>
      <c r="B6" s="17" t="s">
        <v>26</v>
      </c>
      <c r="C6" s="18">
        <v>0.0</v>
      </c>
      <c r="D6" s="21"/>
    </row>
    <row r="7">
      <c r="A7" s="16">
        <v>45358.0</v>
      </c>
      <c r="B7" s="17" t="s">
        <v>27</v>
      </c>
      <c r="C7" s="18">
        <v>7.0</v>
      </c>
      <c r="D7" s="19" t="s">
        <v>28</v>
      </c>
    </row>
    <row r="8">
      <c r="A8" s="16">
        <v>45359.0</v>
      </c>
      <c r="B8" s="17" t="s">
        <v>17</v>
      </c>
      <c r="C8" s="18">
        <v>200.0</v>
      </c>
      <c r="D8" s="19" t="s">
        <v>29</v>
      </c>
    </row>
    <row r="9">
      <c r="A9" s="16">
        <v>45360.0</v>
      </c>
      <c r="B9" s="17" t="s">
        <v>19</v>
      </c>
      <c r="C9" s="18">
        <v>30.1</v>
      </c>
      <c r="D9" s="19" t="s">
        <v>30</v>
      </c>
    </row>
    <row r="10">
      <c r="A10" s="16">
        <v>45361.0</v>
      </c>
      <c r="B10" s="17" t="s">
        <v>21</v>
      </c>
      <c r="C10" s="18">
        <v>30.0</v>
      </c>
      <c r="D10" s="19" t="s">
        <v>31</v>
      </c>
    </row>
    <row r="11">
      <c r="A11" s="16">
        <v>45362.0</v>
      </c>
      <c r="B11" s="17" t="s">
        <v>23</v>
      </c>
      <c r="C11" s="18">
        <v>4.5</v>
      </c>
      <c r="D11" s="19" t="s">
        <v>24</v>
      </c>
    </row>
    <row r="12">
      <c r="A12" s="16">
        <v>45363.0</v>
      </c>
      <c r="B12" s="17" t="s">
        <v>25</v>
      </c>
      <c r="C12" s="18">
        <v>846.0</v>
      </c>
      <c r="D12" s="19" t="s">
        <v>32</v>
      </c>
    </row>
    <row r="13">
      <c r="A13" s="16">
        <v>45364.0</v>
      </c>
      <c r="B13" s="17" t="s">
        <v>26</v>
      </c>
      <c r="C13" s="18">
        <v>0.0</v>
      </c>
      <c r="D13" s="21"/>
    </row>
    <row r="14">
      <c r="A14" s="16">
        <v>45365.0</v>
      </c>
      <c r="B14" s="17" t="s">
        <v>27</v>
      </c>
      <c r="C14" s="18">
        <v>100.0</v>
      </c>
      <c r="D14" s="19" t="s">
        <v>29</v>
      </c>
    </row>
    <row r="15">
      <c r="A15" s="16">
        <v>45366.0</v>
      </c>
      <c r="B15" s="17" t="s">
        <v>17</v>
      </c>
      <c r="C15" s="18">
        <v>0.0</v>
      </c>
      <c r="D15" s="21"/>
    </row>
    <row r="16">
      <c r="A16" s="16">
        <v>45367.0</v>
      </c>
      <c r="B16" s="17" t="s">
        <v>19</v>
      </c>
      <c r="C16" s="18">
        <v>16.0</v>
      </c>
      <c r="D16" s="19" t="s">
        <v>33</v>
      </c>
    </row>
    <row r="17">
      <c r="A17" s="16">
        <v>45368.0</v>
      </c>
      <c r="B17" s="17" t="s">
        <v>21</v>
      </c>
      <c r="C17" s="18">
        <v>15.75</v>
      </c>
      <c r="D17" s="19" t="s">
        <v>34</v>
      </c>
    </row>
    <row r="18">
      <c r="A18" s="16">
        <v>45369.0</v>
      </c>
      <c r="B18" s="17" t="s">
        <v>23</v>
      </c>
      <c r="C18" s="18">
        <v>20.0</v>
      </c>
      <c r="D18" s="19" t="s">
        <v>35</v>
      </c>
    </row>
    <row r="19">
      <c r="A19" s="16">
        <v>45370.0</v>
      </c>
      <c r="B19" s="17" t="s">
        <v>25</v>
      </c>
      <c r="C19" s="18">
        <v>159.25</v>
      </c>
      <c r="D19" s="19" t="s">
        <v>36</v>
      </c>
    </row>
    <row r="20">
      <c r="A20" s="16">
        <v>45371.0</v>
      </c>
      <c r="B20" s="17" t="s">
        <v>26</v>
      </c>
      <c r="C20" s="18">
        <v>75.99</v>
      </c>
      <c r="D20" s="19" t="s">
        <v>37</v>
      </c>
    </row>
    <row r="21">
      <c r="A21" s="16">
        <v>45372.0</v>
      </c>
      <c r="B21" s="17" t="s">
        <v>27</v>
      </c>
      <c r="C21" s="18">
        <v>4.5</v>
      </c>
      <c r="D21" s="19" t="s">
        <v>24</v>
      </c>
    </row>
    <row r="22">
      <c r="A22" s="16">
        <v>45373.0</v>
      </c>
      <c r="B22" s="17" t="s">
        <v>17</v>
      </c>
      <c r="C22" s="18">
        <v>7.0</v>
      </c>
      <c r="D22" s="19" t="s">
        <v>38</v>
      </c>
    </row>
    <row r="23">
      <c r="A23" s="16">
        <v>45374.0</v>
      </c>
      <c r="B23" s="17" t="s">
        <v>19</v>
      </c>
      <c r="C23" s="18">
        <v>74.5</v>
      </c>
      <c r="D23" s="19" t="s">
        <v>39</v>
      </c>
    </row>
    <row r="24">
      <c r="A24" s="16">
        <v>45375.0</v>
      </c>
      <c r="B24" s="17" t="s">
        <v>21</v>
      </c>
      <c r="C24" s="18">
        <v>28.0</v>
      </c>
      <c r="D24" s="19" t="s">
        <v>40</v>
      </c>
    </row>
    <row r="25">
      <c r="A25" s="16">
        <v>45376.0</v>
      </c>
      <c r="B25" s="17" t="s">
        <v>23</v>
      </c>
      <c r="C25" s="18">
        <v>24.5</v>
      </c>
      <c r="D25" s="19" t="s">
        <v>41</v>
      </c>
    </row>
    <row r="26">
      <c r="A26" s="16">
        <v>45377.0</v>
      </c>
      <c r="B26" s="17" t="s">
        <v>25</v>
      </c>
      <c r="C26" s="18">
        <v>30.0</v>
      </c>
      <c r="D26" s="19" t="s">
        <v>31</v>
      </c>
    </row>
    <row r="27">
      <c r="A27" s="16">
        <v>45378.0</v>
      </c>
      <c r="B27" s="17" t="s">
        <v>26</v>
      </c>
      <c r="C27" s="18">
        <v>0.0</v>
      </c>
      <c r="D27" s="21"/>
    </row>
    <row r="28">
      <c r="A28" s="16">
        <v>45379.0</v>
      </c>
      <c r="B28" s="17" t="s">
        <v>27</v>
      </c>
      <c r="C28" s="18">
        <v>0.0</v>
      </c>
      <c r="D28" s="21"/>
    </row>
    <row r="29">
      <c r="A29" s="16">
        <v>45380.0</v>
      </c>
      <c r="B29" s="17" t="s">
        <v>17</v>
      </c>
      <c r="C29" s="18">
        <v>58.7</v>
      </c>
      <c r="D29" s="19" t="s">
        <v>42</v>
      </c>
    </row>
    <row r="30">
      <c r="A30" s="16">
        <v>45381.0</v>
      </c>
      <c r="B30" s="17" t="s">
        <v>19</v>
      </c>
      <c r="C30" s="18">
        <v>153.0</v>
      </c>
      <c r="D30" s="19" t="s">
        <v>43</v>
      </c>
    </row>
    <row r="31">
      <c r="A31" s="16">
        <v>45382.0</v>
      </c>
      <c r="B31" s="17" t="s">
        <v>21</v>
      </c>
      <c r="C31" s="18">
        <v>48.45</v>
      </c>
      <c r="D31" s="19" t="s">
        <v>44</v>
      </c>
    </row>
  </sheetData>
  <conditionalFormatting sqref="E1">
    <cfRule type="cellIs" dxfId="1" priority="1" operator="greaterThanOrEqual">
      <formula>1200</formula>
    </cfRule>
  </conditionalFormatting>
  <conditionalFormatting sqref="E1">
    <cfRule type="cellIs" dxfId="2" priority="2" operator="between">
      <formula>1199</formula>
      <formula>1000</formula>
    </cfRule>
  </conditionalFormatting>
  <conditionalFormatting sqref="E1">
    <cfRule type="cellIs" dxfId="0" priority="3" operator="lessThanOrEqual">
      <formula>999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5"/>
    <col customWidth="1" min="4" max="4" width="59.25"/>
  </cols>
  <sheetData>
    <row r="1">
      <c r="A1" s="16">
        <v>45383.0</v>
      </c>
      <c r="B1" s="17" t="s">
        <v>23</v>
      </c>
      <c r="C1" s="18">
        <v>0.0</v>
      </c>
      <c r="D1" s="19"/>
      <c r="E1" s="20">
        <f>SUM(C1:C31)</f>
        <v>1676.33</v>
      </c>
    </row>
    <row r="2">
      <c r="A2" s="16">
        <v>45384.0</v>
      </c>
      <c r="B2" s="17" t="s">
        <v>25</v>
      </c>
      <c r="C2" s="18">
        <v>0.0</v>
      </c>
      <c r="D2" s="19"/>
    </row>
    <row r="3">
      <c r="A3" s="16">
        <v>45385.0</v>
      </c>
      <c r="B3" s="17" t="s">
        <v>26</v>
      </c>
      <c r="C3" s="18">
        <v>7.5</v>
      </c>
      <c r="D3" s="19" t="s">
        <v>45</v>
      </c>
    </row>
    <row r="4">
      <c r="A4" s="16">
        <v>45386.0</v>
      </c>
      <c r="B4" s="17" t="s">
        <v>27</v>
      </c>
      <c r="C4" s="18">
        <v>39.9</v>
      </c>
      <c r="D4" s="19" t="s">
        <v>46</v>
      </c>
    </row>
    <row r="5">
      <c r="A5" s="16">
        <v>45387.0</v>
      </c>
      <c r="B5" s="17" t="s">
        <v>17</v>
      </c>
      <c r="C5" s="18">
        <v>28.0</v>
      </c>
      <c r="D5" s="21" t="s">
        <v>47</v>
      </c>
    </row>
    <row r="6">
      <c r="A6" s="16">
        <v>45388.0</v>
      </c>
      <c r="B6" s="17" t="s">
        <v>19</v>
      </c>
      <c r="C6" s="18">
        <v>310.09</v>
      </c>
      <c r="D6" s="21" t="s">
        <v>48</v>
      </c>
    </row>
    <row r="7">
      <c r="A7" s="16">
        <v>45389.0</v>
      </c>
      <c r="B7" s="17" t="s">
        <v>21</v>
      </c>
      <c r="C7" s="18">
        <v>21.74</v>
      </c>
      <c r="D7" s="19" t="s">
        <v>22</v>
      </c>
    </row>
    <row r="8">
      <c r="A8" s="16">
        <v>45390.0</v>
      </c>
      <c r="B8" s="17" t="s">
        <v>23</v>
      </c>
      <c r="C8" s="18">
        <v>0.0</v>
      </c>
      <c r="D8" s="19"/>
    </row>
    <row r="9">
      <c r="A9" s="16">
        <v>45391.0</v>
      </c>
      <c r="B9" s="17" t="s">
        <v>25</v>
      </c>
      <c r="C9" s="18">
        <v>42.0</v>
      </c>
      <c r="D9" s="19" t="s">
        <v>49</v>
      </c>
    </row>
    <row r="10">
      <c r="A10" s="16">
        <v>45392.0</v>
      </c>
      <c r="B10" s="17" t="s">
        <v>26</v>
      </c>
      <c r="C10" s="18">
        <v>25.0</v>
      </c>
      <c r="D10" s="19" t="s">
        <v>50</v>
      </c>
    </row>
    <row r="11">
      <c r="A11" s="16">
        <v>45393.0</v>
      </c>
      <c r="B11" s="17" t="s">
        <v>27</v>
      </c>
      <c r="C11" s="18">
        <v>100.0</v>
      </c>
      <c r="D11" s="19" t="s">
        <v>51</v>
      </c>
    </row>
    <row r="12">
      <c r="A12" s="16">
        <v>45394.0</v>
      </c>
      <c r="B12" s="17" t="s">
        <v>17</v>
      </c>
      <c r="C12" s="18">
        <v>130.0</v>
      </c>
      <c r="D12" s="19" t="s">
        <v>52</v>
      </c>
    </row>
    <row r="13">
      <c r="A13" s="16">
        <v>45395.0</v>
      </c>
      <c r="B13" s="17" t="s">
        <v>19</v>
      </c>
      <c r="C13" s="18">
        <v>80.0</v>
      </c>
      <c r="D13" s="21" t="s">
        <v>53</v>
      </c>
    </row>
    <row r="14">
      <c r="A14" s="16">
        <v>45396.0</v>
      </c>
      <c r="B14" s="17" t="s">
        <v>21</v>
      </c>
      <c r="C14" s="18">
        <v>330.0</v>
      </c>
      <c r="D14" s="19" t="s">
        <v>54</v>
      </c>
    </row>
    <row r="15">
      <c r="A15" s="16">
        <v>45397.0</v>
      </c>
      <c r="B15" s="17" t="s">
        <v>23</v>
      </c>
      <c r="C15" s="18">
        <v>145.0</v>
      </c>
      <c r="D15" s="21" t="s">
        <v>55</v>
      </c>
    </row>
    <row r="16">
      <c r="A16" s="16">
        <v>45398.0</v>
      </c>
      <c r="B16" s="17" t="s">
        <v>25</v>
      </c>
      <c r="C16" s="18">
        <v>153.5</v>
      </c>
      <c r="D16" s="19" t="s">
        <v>56</v>
      </c>
    </row>
    <row r="17">
      <c r="A17" s="16">
        <v>45399.0</v>
      </c>
      <c r="B17" s="17" t="s">
        <v>26</v>
      </c>
      <c r="C17" s="18">
        <v>0.0</v>
      </c>
      <c r="D17" s="19"/>
    </row>
    <row r="18">
      <c r="A18" s="16">
        <v>45400.0</v>
      </c>
      <c r="B18" s="17" t="s">
        <v>27</v>
      </c>
      <c r="C18" s="18">
        <v>0.0</v>
      </c>
      <c r="D18" s="19"/>
    </row>
    <row r="19">
      <c r="A19" s="16">
        <v>45401.0</v>
      </c>
      <c r="B19" s="17" t="s">
        <v>17</v>
      </c>
      <c r="C19" s="18">
        <v>44.6</v>
      </c>
      <c r="D19" s="19" t="s">
        <v>57</v>
      </c>
    </row>
    <row r="20">
      <c r="A20" s="16">
        <v>45402.0</v>
      </c>
      <c r="B20" s="17" t="s">
        <v>19</v>
      </c>
      <c r="C20" s="18">
        <v>10.0</v>
      </c>
      <c r="D20" s="19" t="s">
        <v>29</v>
      </c>
    </row>
    <row r="21">
      <c r="A21" s="16">
        <v>45403.0</v>
      </c>
      <c r="B21" s="17" t="s">
        <v>21</v>
      </c>
      <c r="C21" s="18">
        <v>36.0</v>
      </c>
      <c r="D21" s="19" t="s">
        <v>22</v>
      </c>
    </row>
    <row r="22">
      <c r="A22" s="16">
        <v>45404.0</v>
      </c>
      <c r="B22" s="17" t="s">
        <v>23</v>
      </c>
      <c r="C22" s="18">
        <v>63.5</v>
      </c>
      <c r="D22" s="19" t="s">
        <v>58</v>
      </c>
    </row>
    <row r="23">
      <c r="A23" s="16">
        <v>45405.0</v>
      </c>
      <c r="B23" s="17" t="s">
        <v>25</v>
      </c>
      <c r="C23" s="18">
        <v>9.5</v>
      </c>
      <c r="D23" s="19" t="s">
        <v>59</v>
      </c>
    </row>
    <row r="24">
      <c r="A24" s="16">
        <v>45406.0</v>
      </c>
      <c r="B24" s="17" t="s">
        <v>26</v>
      </c>
      <c r="C24" s="18">
        <v>0.0</v>
      </c>
      <c r="D24" s="19"/>
    </row>
    <row r="25">
      <c r="A25" s="16">
        <v>45407.0</v>
      </c>
      <c r="B25" s="17" t="s">
        <v>27</v>
      </c>
      <c r="C25" s="18">
        <v>0.0</v>
      </c>
      <c r="D25" s="19"/>
    </row>
    <row r="26">
      <c r="A26" s="16">
        <v>45408.0</v>
      </c>
      <c r="B26" s="17" t="s">
        <v>17</v>
      </c>
      <c r="C26" s="18">
        <v>0.0</v>
      </c>
      <c r="D26" s="19"/>
    </row>
    <row r="27">
      <c r="A27" s="16">
        <v>45409.0</v>
      </c>
      <c r="B27" s="17" t="s">
        <v>19</v>
      </c>
      <c r="C27" s="18">
        <v>0.0</v>
      </c>
      <c r="D27" s="21"/>
    </row>
    <row r="28">
      <c r="A28" s="16">
        <v>45410.0</v>
      </c>
      <c r="B28" s="17" t="s">
        <v>21</v>
      </c>
      <c r="C28" s="18">
        <v>70.0</v>
      </c>
      <c r="D28" s="21" t="s">
        <v>60</v>
      </c>
    </row>
    <row r="29">
      <c r="A29" s="16">
        <v>45411.0</v>
      </c>
      <c r="B29" s="17" t="s">
        <v>23</v>
      </c>
      <c r="C29" s="18">
        <v>0.0</v>
      </c>
      <c r="D29" s="19"/>
    </row>
    <row r="30">
      <c r="A30" s="16">
        <v>45412.0</v>
      </c>
      <c r="B30" s="17" t="s">
        <v>25</v>
      </c>
      <c r="C30" s="18">
        <v>30.0</v>
      </c>
      <c r="D30" s="19" t="s">
        <v>61</v>
      </c>
    </row>
  </sheetData>
  <conditionalFormatting sqref="E1">
    <cfRule type="cellIs" dxfId="1" priority="1" operator="greaterThanOrEqual">
      <formula>1200</formula>
    </cfRule>
  </conditionalFormatting>
  <conditionalFormatting sqref="E1">
    <cfRule type="cellIs" dxfId="2" priority="2" operator="between">
      <formula>1199</formula>
      <formula>1000</formula>
    </cfRule>
  </conditionalFormatting>
  <conditionalFormatting sqref="E1">
    <cfRule type="cellIs" dxfId="0" priority="3" operator="lessThanOrEqual">
      <formula>999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2.88"/>
  </cols>
  <sheetData>
    <row r="1">
      <c r="A1" s="16">
        <v>45413.0</v>
      </c>
      <c r="B1" s="17" t="s">
        <v>26</v>
      </c>
      <c r="C1" s="18"/>
      <c r="D1" s="19"/>
      <c r="E1" s="20">
        <f>SUM(C1:C31)</f>
        <v>1305.83</v>
      </c>
    </row>
    <row r="2">
      <c r="A2" s="16">
        <v>45414.0</v>
      </c>
      <c r="B2" s="17" t="s">
        <v>27</v>
      </c>
      <c r="C2" s="18"/>
      <c r="D2" s="19"/>
    </row>
    <row r="3">
      <c r="A3" s="16">
        <v>45415.0</v>
      </c>
      <c r="B3" s="17" t="s">
        <v>17</v>
      </c>
      <c r="C3" s="18">
        <v>331.0</v>
      </c>
      <c r="D3" s="19" t="s">
        <v>62</v>
      </c>
    </row>
    <row r="4">
      <c r="A4" s="16">
        <v>45416.0</v>
      </c>
      <c r="B4" s="17" t="s">
        <v>19</v>
      </c>
      <c r="C4" s="18">
        <v>3.8</v>
      </c>
      <c r="D4" s="19" t="s">
        <v>63</v>
      </c>
    </row>
    <row r="5">
      <c r="A5" s="16">
        <v>45417.0</v>
      </c>
      <c r="B5" s="17" t="s">
        <v>21</v>
      </c>
      <c r="C5" s="18"/>
      <c r="D5" s="21"/>
    </row>
    <row r="6">
      <c r="A6" s="16">
        <v>45418.0</v>
      </c>
      <c r="B6" s="17" t="s">
        <v>23</v>
      </c>
      <c r="C6" s="18">
        <v>16.55</v>
      </c>
      <c r="D6" s="21" t="s">
        <v>64</v>
      </c>
    </row>
    <row r="7">
      <c r="A7" s="16">
        <v>45419.0</v>
      </c>
      <c r="B7" s="17" t="s">
        <v>25</v>
      </c>
      <c r="C7" s="18"/>
      <c r="D7" s="19"/>
    </row>
    <row r="8">
      <c r="A8" s="16">
        <v>45420.0</v>
      </c>
      <c r="B8" s="17" t="s">
        <v>26</v>
      </c>
      <c r="C8" s="18">
        <v>113.8</v>
      </c>
      <c r="D8" s="19" t="s">
        <v>65</v>
      </c>
    </row>
    <row r="9">
      <c r="A9" s="16">
        <v>45421.0</v>
      </c>
      <c r="B9" s="17" t="s">
        <v>27</v>
      </c>
      <c r="C9" s="18"/>
      <c r="D9" s="19"/>
    </row>
    <row r="10">
      <c r="A10" s="16">
        <v>45422.0</v>
      </c>
      <c r="B10" s="17" t="s">
        <v>17</v>
      </c>
      <c r="C10" s="18"/>
      <c r="D10" s="19"/>
    </row>
    <row r="11">
      <c r="A11" s="16">
        <v>45423.0</v>
      </c>
      <c r="B11" s="17" t="s">
        <v>19</v>
      </c>
      <c r="C11" s="18">
        <v>60.0</v>
      </c>
      <c r="D11" s="19" t="s">
        <v>66</v>
      </c>
    </row>
    <row r="12">
      <c r="A12" s="16">
        <v>45424.0</v>
      </c>
      <c r="B12" s="17" t="s">
        <v>21</v>
      </c>
      <c r="C12" s="18">
        <v>57.0</v>
      </c>
      <c r="D12" s="19" t="s">
        <v>67</v>
      </c>
    </row>
    <row r="13">
      <c r="A13" s="16">
        <v>45425.0</v>
      </c>
      <c r="B13" s="17" t="s">
        <v>23</v>
      </c>
      <c r="C13" s="18"/>
      <c r="D13" s="21"/>
    </row>
    <row r="14">
      <c r="A14" s="16">
        <v>45426.0</v>
      </c>
      <c r="B14" s="17" t="s">
        <v>25</v>
      </c>
      <c r="C14" s="18"/>
      <c r="D14" s="19"/>
    </row>
    <row r="15">
      <c r="A15" s="16">
        <v>45427.0</v>
      </c>
      <c r="B15" s="17" t="s">
        <v>26</v>
      </c>
      <c r="C15" s="18"/>
      <c r="D15" s="21"/>
    </row>
    <row r="16">
      <c r="A16" s="16">
        <v>45428.0</v>
      </c>
      <c r="B16" s="17" t="s">
        <v>27</v>
      </c>
      <c r="C16" s="18">
        <v>117.45</v>
      </c>
      <c r="D16" s="19" t="s">
        <v>68</v>
      </c>
    </row>
    <row r="17">
      <c r="A17" s="16">
        <v>45429.0</v>
      </c>
      <c r="B17" s="17" t="s">
        <v>17</v>
      </c>
      <c r="C17" s="18"/>
      <c r="D17" s="19"/>
    </row>
    <row r="18">
      <c r="A18" s="16">
        <v>45430.0</v>
      </c>
      <c r="B18" s="17" t="s">
        <v>19</v>
      </c>
      <c r="C18" s="18"/>
      <c r="D18" s="19"/>
    </row>
    <row r="19">
      <c r="A19" s="16">
        <v>45431.0</v>
      </c>
      <c r="B19" s="17" t="s">
        <v>21</v>
      </c>
      <c r="C19" s="18">
        <v>214.0</v>
      </c>
      <c r="D19" s="19" t="s">
        <v>69</v>
      </c>
    </row>
    <row r="20">
      <c r="A20" s="16">
        <v>45432.0</v>
      </c>
      <c r="B20" s="17" t="s">
        <v>23</v>
      </c>
      <c r="C20" s="18"/>
      <c r="D20" s="19"/>
    </row>
    <row r="21">
      <c r="A21" s="16">
        <v>45433.0</v>
      </c>
      <c r="B21" s="17" t="s">
        <v>25</v>
      </c>
      <c r="C21" s="18"/>
      <c r="D21" s="19"/>
    </row>
    <row r="22">
      <c r="A22" s="16">
        <v>45434.0</v>
      </c>
      <c r="B22" s="17" t="s">
        <v>26</v>
      </c>
      <c r="C22" s="18">
        <v>7.3</v>
      </c>
      <c r="D22" s="19" t="s">
        <v>70</v>
      </c>
    </row>
    <row r="23">
      <c r="A23" s="16">
        <v>45435.0</v>
      </c>
      <c r="B23" s="17" t="s">
        <v>27</v>
      </c>
      <c r="C23" s="18"/>
      <c r="D23" s="19"/>
    </row>
    <row r="24">
      <c r="A24" s="16">
        <v>45436.0</v>
      </c>
      <c r="B24" s="17" t="s">
        <v>17</v>
      </c>
      <c r="C24" s="18">
        <v>67.6</v>
      </c>
      <c r="D24" s="19" t="s">
        <v>71</v>
      </c>
    </row>
    <row r="25">
      <c r="A25" s="16">
        <v>45437.0</v>
      </c>
      <c r="B25" s="17" t="s">
        <v>19</v>
      </c>
      <c r="C25" s="18"/>
      <c r="D25" s="19"/>
    </row>
    <row r="26">
      <c r="A26" s="16">
        <v>45438.0</v>
      </c>
      <c r="B26" s="17" t="s">
        <v>21</v>
      </c>
      <c r="C26" s="18">
        <v>70.45</v>
      </c>
      <c r="D26" s="19" t="s">
        <v>72</v>
      </c>
    </row>
    <row r="27">
      <c r="A27" s="16">
        <v>45439.0</v>
      </c>
      <c r="B27" s="17" t="s">
        <v>23</v>
      </c>
      <c r="C27" s="18"/>
      <c r="D27" s="21"/>
    </row>
    <row r="28">
      <c r="A28" s="16">
        <v>45440.0</v>
      </c>
      <c r="B28" s="17" t="s">
        <v>25</v>
      </c>
      <c r="C28" s="18">
        <v>59.74</v>
      </c>
      <c r="D28" s="21" t="s">
        <v>73</v>
      </c>
    </row>
    <row r="29">
      <c r="A29" s="16">
        <v>45441.0</v>
      </c>
      <c r="B29" s="17" t="s">
        <v>26</v>
      </c>
      <c r="C29" s="18">
        <v>27.5</v>
      </c>
      <c r="D29" s="19" t="s">
        <v>74</v>
      </c>
    </row>
    <row r="30">
      <c r="A30" s="16">
        <v>45442.0</v>
      </c>
      <c r="B30" s="17" t="s">
        <v>27</v>
      </c>
      <c r="C30" s="18">
        <v>26.65</v>
      </c>
      <c r="D30" s="19" t="s">
        <v>22</v>
      </c>
    </row>
    <row r="31">
      <c r="A31" s="16">
        <v>45443.0</v>
      </c>
      <c r="B31" s="17" t="s">
        <v>17</v>
      </c>
      <c r="C31" s="18">
        <v>132.99</v>
      </c>
      <c r="D31" s="19" t="s">
        <v>75</v>
      </c>
    </row>
  </sheetData>
  <conditionalFormatting sqref="E1">
    <cfRule type="cellIs" dxfId="1" priority="1" operator="greaterThanOrEqual">
      <formula>1200</formula>
    </cfRule>
  </conditionalFormatting>
  <conditionalFormatting sqref="E1">
    <cfRule type="cellIs" dxfId="2" priority="2" operator="between">
      <formula>1199</formula>
      <formula>1000</formula>
    </cfRule>
  </conditionalFormatting>
  <conditionalFormatting sqref="E1">
    <cfRule type="cellIs" dxfId="0" priority="3" operator="lessThanOrEqual">
      <formula>999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13"/>
    <col customWidth="1" min="3" max="3" width="8.5"/>
    <col customWidth="1" min="4" max="4" width="47.38"/>
  </cols>
  <sheetData>
    <row r="1">
      <c r="A1" s="16">
        <v>45444.0</v>
      </c>
      <c r="B1" s="17" t="s">
        <v>19</v>
      </c>
      <c r="C1" s="18">
        <v>38.0</v>
      </c>
      <c r="D1" s="19" t="s">
        <v>76</v>
      </c>
      <c r="E1" s="20">
        <f>SUM(C1:C31)</f>
        <v>1372</v>
      </c>
    </row>
    <row r="2">
      <c r="A2" s="16">
        <v>45445.0</v>
      </c>
      <c r="B2" s="17" t="s">
        <v>21</v>
      </c>
      <c r="C2" s="18">
        <v>270.0</v>
      </c>
      <c r="D2" s="19" t="s">
        <v>77</v>
      </c>
    </row>
    <row r="3">
      <c r="A3" s="16">
        <v>45446.0</v>
      </c>
      <c r="B3" s="17" t="s">
        <v>23</v>
      </c>
      <c r="C3" s="18"/>
      <c r="D3" s="19"/>
    </row>
    <row r="4">
      <c r="A4" s="16">
        <v>45447.0</v>
      </c>
      <c r="B4" s="17" t="s">
        <v>25</v>
      </c>
      <c r="C4" s="18"/>
      <c r="D4" s="19"/>
    </row>
    <row r="5">
      <c r="A5" s="16">
        <v>45448.0</v>
      </c>
      <c r="B5" s="17" t="s">
        <v>26</v>
      </c>
      <c r="C5" s="18">
        <v>500.0</v>
      </c>
      <c r="D5" s="21" t="s">
        <v>78</v>
      </c>
    </row>
    <row r="6">
      <c r="A6" s="16">
        <v>45449.0</v>
      </c>
      <c r="B6" s="17" t="s">
        <v>27</v>
      </c>
      <c r="C6" s="18">
        <v>7.0</v>
      </c>
      <c r="D6" s="21" t="s">
        <v>79</v>
      </c>
    </row>
    <row r="7">
      <c r="A7" s="16">
        <v>45450.0</v>
      </c>
      <c r="B7" s="17" t="s">
        <v>17</v>
      </c>
      <c r="C7" s="18"/>
      <c r="D7" s="19"/>
    </row>
    <row r="8">
      <c r="A8" s="16">
        <v>45451.0</v>
      </c>
      <c r="B8" s="17" t="s">
        <v>19</v>
      </c>
      <c r="C8" s="18"/>
      <c r="D8" s="19"/>
    </row>
    <row r="9">
      <c r="A9" s="16">
        <v>45452.0</v>
      </c>
      <c r="B9" s="17" t="s">
        <v>21</v>
      </c>
      <c r="C9" s="18">
        <v>20.0</v>
      </c>
      <c r="D9" s="19" t="s">
        <v>80</v>
      </c>
    </row>
    <row r="10">
      <c r="A10" s="16">
        <v>45453.0</v>
      </c>
      <c r="B10" s="17" t="s">
        <v>23</v>
      </c>
      <c r="C10" s="18">
        <v>50.0</v>
      </c>
      <c r="D10" s="19" t="s">
        <v>81</v>
      </c>
    </row>
    <row r="11">
      <c r="A11" s="16">
        <v>45454.0</v>
      </c>
      <c r="B11" s="17" t="s">
        <v>25</v>
      </c>
      <c r="C11" s="18">
        <v>3.8</v>
      </c>
      <c r="D11" s="19" t="s">
        <v>82</v>
      </c>
    </row>
    <row r="12">
      <c r="A12" s="16">
        <v>45455.0</v>
      </c>
      <c r="B12" s="17" t="s">
        <v>26</v>
      </c>
      <c r="C12" s="18"/>
      <c r="D12" s="19"/>
    </row>
    <row r="13">
      <c r="A13" s="16">
        <v>45456.0</v>
      </c>
      <c r="B13" s="17" t="s">
        <v>27</v>
      </c>
      <c r="C13" s="18"/>
      <c r="D13" s="21"/>
    </row>
    <row r="14">
      <c r="A14" s="16">
        <v>45457.0</v>
      </c>
      <c r="B14" s="17" t="s">
        <v>17</v>
      </c>
      <c r="C14" s="18"/>
      <c r="D14" s="19"/>
    </row>
    <row r="15">
      <c r="A15" s="16">
        <v>45458.0</v>
      </c>
      <c r="B15" s="17" t="s">
        <v>19</v>
      </c>
      <c r="C15" s="18">
        <v>28.0</v>
      </c>
      <c r="D15" s="21" t="s">
        <v>83</v>
      </c>
    </row>
    <row r="16">
      <c r="A16" s="16">
        <v>45459.0</v>
      </c>
      <c r="B16" s="17" t="s">
        <v>21</v>
      </c>
      <c r="C16" s="18">
        <v>28.0</v>
      </c>
      <c r="D16" s="19" t="s">
        <v>84</v>
      </c>
    </row>
    <row r="17">
      <c r="A17" s="16">
        <v>45460.0</v>
      </c>
      <c r="B17" s="17" t="s">
        <v>23</v>
      </c>
      <c r="C17" s="18">
        <v>65.0</v>
      </c>
      <c r="D17" s="19" t="s">
        <v>85</v>
      </c>
    </row>
    <row r="18">
      <c r="A18" s="16">
        <v>45461.0</v>
      </c>
      <c r="B18" s="17" t="s">
        <v>25</v>
      </c>
      <c r="C18" s="18">
        <v>50.0</v>
      </c>
      <c r="D18" s="19" t="s">
        <v>86</v>
      </c>
    </row>
    <row r="19">
      <c r="A19" s="16">
        <v>45462.0</v>
      </c>
      <c r="B19" s="17" t="s">
        <v>26</v>
      </c>
      <c r="C19" s="18"/>
      <c r="D19" s="19"/>
    </row>
    <row r="20">
      <c r="A20" s="16">
        <v>45463.0</v>
      </c>
      <c r="B20" s="17" t="s">
        <v>27</v>
      </c>
      <c r="C20" s="18"/>
      <c r="D20" s="19"/>
    </row>
    <row r="21">
      <c r="A21" s="16">
        <v>45464.0</v>
      </c>
      <c r="B21" s="17" t="s">
        <v>17</v>
      </c>
      <c r="C21" s="18">
        <v>100.0</v>
      </c>
      <c r="D21" s="19" t="s">
        <v>29</v>
      </c>
    </row>
    <row r="22">
      <c r="A22" s="16">
        <v>45465.0</v>
      </c>
      <c r="B22" s="17" t="s">
        <v>19</v>
      </c>
      <c r="C22" s="18">
        <v>62.0</v>
      </c>
      <c r="D22" s="19" t="s">
        <v>87</v>
      </c>
    </row>
    <row r="23">
      <c r="A23" s="16">
        <v>45466.0</v>
      </c>
      <c r="B23" s="17" t="s">
        <v>21</v>
      </c>
      <c r="C23" s="18">
        <v>20.0</v>
      </c>
      <c r="D23" s="19" t="s">
        <v>22</v>
      </c>
    </row>
    <row r="24">
      <c r="A24" s="16">
        <v>45467.0</v>
      </c>
      <c r="B24" s="17" t="s">
        <v>23</v>
      </c>
      <c r="C24" s="18"/>
      <c r="D24" s="19"/>
    </row>
    <row r="25">
      <c r="A25" s="16">
        <v>45468.0</v>
      </c>
      <c r="B25" s="17" t="s">
        <v>25</v>
      </c>
      <c r="C25" s="18"/>
      <c r="D25" s="19"/>
    </row>
    <row r="26">
      <c r="A26" s="16">
        <v>45469.0</v>
      </c>
      <c r="B26" s="17" t="s">
        <v>26</v>
      </c>
      <c r="C26" s="18"/>
      <c r="D26" s="19"/>
    </row>
    <row r="27">
      <c r="A27" s="16">
        <v>45470.0</v>
      </c>
      <c r="B27" s="17" t="s">
        <v>27</v>
      </c>
      <c r="C27" s="18"/>
      <c r="D27" s="21"/>
    </row>
    <row r="28">
      <c r="A28" s="16">
        <v>45471.0</v>
      </c>
      <c r="B28" s="17" t="s">
        <v>17</v>
      </c>
      <c r="C28" s="18"/>
      <c r="D28" s="21"/>
    </row>
    <row r="29">
      <c r="A29" s="16">
        <v>45472.0</v>
      </c>
      <c r="B29" s="17" t="s">
        <v>19</v>
      </c>
      <c r="C29" s="18">
        <v>16.2</v>
      </c>
      <c r="D29" s="19" t="s">
        <v>41</v>
      </c>
    </row>
    <row r="30">
      <c r="A30" s="16">
        <v>45473.0</v>
      </c>
      <c r="B30" s="17" t="s">
        <v>21</v>
      </c>
      <c r="C30" s="18">
        <v>114.0</v>
      </c>
      <c r="D30" s="19" t="s">
        <v>88</v>
      </c>
    </row>
  </sheetData>
  <conditionalFormatting sqref="E1">
    <cfRule type="cellIs" dxfId="1" priority="1" operator="greaterThanOrEqual">
      <formula>1200</formula>
    </cfRule>
  </conditionalFormatting>
  <conditionalFormatting sqref="E1">
    <cfRule type="cellIs" dxfId="2" priority="2" operator="between">
      <formula>1199</formula>
      <formula>1000</formula>
    </cfRule>
  </conditionalFormatting>
  <conditionalFormatting sqref="E1">
    <cfRule type="cellIs" dxfId="0" priority="3" operator="lessThanOrEqual">
      <formula>999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13"/>
    <col customWidth="1" min="3" max="3" width="8.0"/>
    <col customWidth="1" min="4" max="4" width="53.5"/>
  </cols>
  <sheetData>
    <row r="1">
      <c r="A1" s="16">
        <v>45474.0</v>
      </c>
      <c r="B1" s="17" t="s">
        <v>23</v>
      </c>
      <c r="C1" s="18">
        <v>50.0</v>
      </c>
      <c r="D1" s="19" t="s">
        <v>89</v>
      </c>
      <c r="E1" s="20">
        <f>SUM(C1:C31)</f>
        <v>1330.9</v>
      </c>
    </row>
    <row r="2">
      <c r="A2" s="16">
        <v>45475.0</v>
      </c>
      <c r="B2" s="17" t="s">
        <v>25</v>
      </c>
      <c r="C2" s="18">
        <v>25.5</v>
      </c>
      <c r="D2" s="19" t="s">
        <v>90</v>
      </c>
    </row>
    <row r="3">
      <c r="A3" s="16">
        <v>45476.0</v>
      </c>
      <c r="B3" s="17" t="s">
        <v>26</v>
      </c>
      <c r="C3" s="18"/>
      <c r="D3" s="19"/>
    </row>
    <row r="4">
      <c r="A4" s="16">
        <v>45477.0</v>
      </c>
      <c r="B4" s="17" t="s">
        <v>27</v>
      </c>
      <c r="C4" s="18">
        <v>57.0</v>
      </c>
      <c r="D4" s="19" t="s">
        <v>91</v>
      </c>
    </row>
    <row r="5">
      <c r="A5" s="16">
        <v>45478.0</v>
      </c>
      <c r="B5" s="17" t="s">
        <v>17</v>
      </c>
      <c r="C5" s="18">
        <v>500.0</v>
      </c>
      <c r="D5" s="21" t="s">
        <v>78</v>
      </c>
    </row>
    <row r="6">
      <c r="A6" s="16">
        <v>45479.0</v>
      </c>
      <c r="B6" s="17" t="s">
        <v>19</v>
      </c>
      <c r="C6" s="18">
        <v>40.0</v>
      </c>
      <c r="D6" s="21" t="s">
        <v>92</v>
      </c>
    </row>
    <row r="7">
      <c r="A7" s="16">
        <v>45480.0</v>
      </c>
      <c r="B7" s="17" t="s">
        <v>21</v>
      </c>
      <c r="C7" s="18"/>
      <c r="D7" s="19"/>
    </row>
    <row r="8">
      <c r="A8" s="16">
        <v>45481.0</v>
      </c>
      <c r="B8" s="17" t="s">
        <v>23</v>
      </c>
      <c r="C8" s="18">
        <v>50.0</v>
      </c>
      <c r="D8" s="19" t="s">
        <v>29</v>
      </c>
    </row>
    <row r="9">
      <c r="A9" s="16">
        <v>45482.0</v>
      </c>
      <c r="B9" s="17" t="s">
        <v>25</v>
      </c>
      <c r="C9" s="18">
        <v>25.0</v>
      </c>
      <c r="D9" s="19" t="s">
        <v>93</v>
      </c>
    </row>
    <row r="10">
      <c r="A10" s="16">
        <v>45483.0</v>
      </c>
      <c r="B10" s="17" t="s">
        <v>26</v>
      </c>
      <c r="C10" s="18"/>
      <c r="D10" s="19"/>
    </row>
    <row r="11">
      <c r="A11" s="16">
        <v>45484.0</v>
      </c>
      <c r="B11" s="17" t="s">
        <v>27</v>
      </c>
      <c r="C11" s="18"/>
      <c r="D11" s="19"/>
    </row>
    <row r="12">
      <c r="A12" s="16">
        <v>45485.0</v>
      </c>
      <c r="B12" s="17" t="s">
        <v>17</v>
      </c>
      <c r="C12" s="18"/>
      <c r="D12" s="19"/>
    </row>
    <row r="13">
      <c r="A13" s="16">
        <v>45486.0</v>
      </c>
      <c r="B13" s="17" t="s">
        <v>19</v>
      </c>
      <c r="C13" s="18"/>
      <c r="D13" s="21"/>
    </row>
    <row r="14">
      <c r="A14" s="16">
        <v>45487.0</v>
      </c>
      <c r="B14" s="17" t="s">
        <v>21</v>
      </c>
      <c r="C14" s="18"/>
      <c r="D14" s="19"/>
    </row>
    <row r="15">
      <c r="A15" s="16">
        <v>45488.0</v>
      </c>
      <c r="B15" s="17" t="s">
        <v>23</v>
      </c>
      <c r="C15" s="18">
        <v>113.0</v>
      </c>
      <c r="D15" s="21" t="s">
        <v>94</v>
      </c>
    </row>
    <row r="16">
      <c r="A16" s="16">
        <v>45489.0</v>
      </c>
      <c r="B16" s="17" t="s">
        <v>25</v>
      </c>
      <c r="C16" s="18"/>
      <c r="D16" s="19"/>
    </row>
    <row r="17">
      <c r="A17" s="16">
        <v>45490.0</v>
      </c>
      <c r="B17" s="17" t="s">
        <v>26</v>
      </c>
      <c r="C17" s="18"/>
      <c r="D17" s="19"/>
    </row>
    <row r="18">
      <c r="A18" s="16">
        <v>45491.0</v>
      </c>
      <c r="B18" s="17" t="s">
        <v>27</v>
      </c>
      <c r="C18" s="18"/>
      <c r="D18" s="19"/>
    </row>
    <row r="19">
      <c r="A19" s="16">
        <v>45492.0</v>
      </c>
      <c r="B19" s="17" t="s">
        <v>17</v>
      </c>
      <c r="C19" s="18">
        <v>50.5</v>
      </c>
      <c r="D19" s="19" t="s">
        <v>95</v>
      </c>
    </row>
    <row r="20">
      <c r="A20" s="16">
        <v>45493.0</v>
      </c>
      <c r="B20" s="17" t="s">
        <v>19</v>
      </c>
      <c r="C20" s="18">
        <v>28.5</v>
      </c>
      <c r="D20" s="19" t="s">
        <v>96</v>
      </c>
    </row>
    <row r="21">
      <c r="A21" s="16">
        <v>45494.0</v>
      </c>
      <c r="B21" s="17" t="s">
        <v>21</v>
      </c>
      <c r="C21" s="18">
        <v>83.8</v>
      </c>
      <c r="D21" s="19" t="s">
        <v>97</v>
      </c>
    </row>
    <row r="22">
      <c r="A22" s="16">
        <v>45495.0</v>
      </c>
      <c r="B22" s="17" t="s">
        <v>23</v>
      </c>
      <c r="C22" s="18">
        <v>135.0</v>
      </c>
      <c r="D22" s="19" t="s">
        <v>98</v>
      </c>
    </row>
    <row r="23">
      <c r="A23" s="16">
        <v>45496.0</v>
      </c>
      <c r="B23" s="17" t="s">
        <v>25</v>
      </c>
      <c r="C23" s="18"/>
      <c r="D23" s="19"/>
    </row>
    <row r="24">
      <c r="A24" s="16">
        <v>45497.0</v>
      </c>
      <c r="B24" s="17" t="s">
        <v>26</v>
      </c>
      <c r="C24" s="18"/>
      <c r="D24" s="19"/>
    </row>
    <row r="25">
      <c r="A25" s="16">
        <v>45498.0</v>
      </c>
      <c r="B25" s="17" t="s">
        <v>27</v>
      </c>
      <c r="C25" s="18"/>
      <c r="D25" s="19"/>
    </row>
    <row r="26">
      <c r="A26" s="16">
        <v>45499.0</v>
      </c>
      <c r="B26" s="17" t="s">
        <v>17</v>
      </c>
      <c r="C26" s="18"/>
      <c r="D26" s="19"/>
    </row>
    <row r="27">
      <c r="A27" s="16">
        <v>45500.0</v>
      </c>
      <c r="B27" s="17" t="s">
        <v>19</v>
      </c>
      <c r="C27" s="18"/>
      <c r="D27" s="21"/>
    </row>
    <row r="28">
      <c r="A28" s="16">
        <v>45501.0</v>
      </c>
      <c r="B28" s="17" t="s">
        <v>21</v>
      </c>
      <c r="C28" s="18"/>
      <c r="D28" s="21"/>
    </row>
    <row r="29">
      <c r="A29" s="16">
        <v>45502.0</v>
      </c>
      <c r="B29" s="17" t="s">
        <v>23</v>
      </c>
      <c r="C29" s="18"/>
      <c r="D29" s="19"/>
    </row>
    <row r="30">
      <c r="A30" s="16">
        <v>45503.0</v>
      </c>
      <c r="B30" s="17" t="s">
        <v>25</v>
      </c>
      <c r="C30" s="18">
        <v>172.6</v>
      </c>
      <c r="D30" s="19" t="s">
        <v>99</v>
      </c>
    </row>
    <row r="31">
      <c r="A31" s="16">
        <v>45504.0</v>
      </c>
      <c r="B31" s="17" t="s">
        <v>26</v>
      </c>
      <c r="C31" s="18"/>
      <c r="D31" s="19"/>
    </row>
  </sheetData>
  <conditionalFormatting sqref="E1">
    <cfRule type="cellIs" dxfId="1" priority="1" operator="greaterThanOrEqual">
      <formula>1200</formula>
    </cfRule>
  </conditionalFormatting>
  <conditionalFormatting sqref="E1">
    <cfRule type="cellIs" dxfId="2" priority="2" operator="between">
      <formula>1199</formula>
      <formula>1000</formula>
    </cfRule>
  </conditionalFormatting>
  <conditionalFormatting sqref="E1">
    <cfRule type="cellIs" dxfId="0" priority="3" operator="lessThanOrEqual">
      <formula>999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13"/>
    <col customWidth="1" min="3" max="3" width="8.5"/>
    <col customWidth="1" min="4" max="4" width="41.88"/>
  </cols>
  <sheetData>
    <row r="1">
      <c r="A1" s="16">
        <v>45505.0</v>
      </c>
      <c r="B1" s="17" t="s">
        <v>27</v>
      </c>
      <c r="C1" s="18"/>
      <c r="D1" s="19"/>
      <c r="E1" s="20">
        <f>SUM(C1:C31)</f>
        <v>1355.3</v>
      </c>
    </row>
    <row r="2">
      <c r="A2" s="16">
        <v>45506.0</v>
      </c>
      <c r="B2" s="17" t="s">
        <v>17</v>
      </c>
      <c r="C2" s="18"/>
      <c r="D2" s="19"/>
    </row>
    <row r="3">
      <c r="A3" s="16">
        <v>45507.0</v>
      </c>
      <c r="B3" s="17" t="s">
        <v>19</v>
      </c>
      <c r="C3" s="18"/>
      <c r="D3" s="19"/>
    </row>
    <row r="4">
      <c r="A4" s="16">
        <v>45508.0</v>
      </c>
      <c r="B4" s="17" t="s">
        <v>21</v>
      </c>
      <c r="C4" s="18"/>
      <c r="D4" s="19"/>
    </row>
    <row r="5">
      <c r="A5" s="16">
        <v>45509.0</v>
      </c>
      <c r="B5" s="17" t="s">
        <v>23</v>
      </c>
      <c r="C5" s="18">
        <v>500.0</v>
      </c>
      <c r="D5" s="21" t="s">
        <v>78</v>
      </c>
    </row>
    <row r="6">
      <c r="A6" s="16">
        <v>45510.0</v>
      </c>
      <c r="B6" s="17" t="s">
        <v>25</v>
      </c>
      <c r="C6" s="18">
        <v>190.8</v>
      </c>
      <c r="D6" s="21" t="s">
        <v>100</v>
      </c>
    </row>
    <row r="7">
      <c r="A7" s="16">
        <v>45511.0</v>
      </c>
      <c r="B7" s="17" t="s">
        <v>26</v>
      </c>
      <c r="C7" s="18"/>
      <c r="D7" s="19"/>
    </row>
    <row r="8">
      <c r="A8" s="16">
        <v>45512.0</v>
      </c>
      <c r="B8" s="17" t="s">
        <v>27</v>
      </c>
      <c r="C8" s="18"/>
      <c r="D8" s="19"/>
    </row>
    <row r="9">
      <c r="A9" s="16">
        <v>45513.0</v>
      </c>
      <c r="B9" s="17" t="s">
        <v>17</v>
      </c>
      <c r="C9" s="18">
        <v>32.0</v>
      </c>
      <c r="D9" s="19" t="s">
        <v>101</v>
      </c>
    </row>
    <row r="10">
      <c r="A10" s="16">
        <v>45514.0</v>
      </c>
      <c r="B10" s="17" t="s">
        <v>19</v>
      </c>
      <c r="C10" s="18">
        <v>9.5</v>
      </c>
      <c r="D10" s="19" t="s">
        <v>102</v>
      </c>
    </row>
    <row r="11">
      <c r="A11" s="16">
        <v>45515.0</v>
      </c>
      <c r="B11" s="17" t="s">
        <v>21</v>
      </c>
      <c r="C11" s="18">
        <v>19.0</v>
      </c>
      <c r="D11" s="19" t="s">
        <v>22</v>
      </c>
    </row>
    <row r="12">
      <c r="A12" s="16">
        <v>45516.0</v>
      </c>
      <c r="B12" s="17" t="s">
        <v>23</v>
      </c>
      <c r="C12" s="18"/>
      <c r="D12" s="19"/>
    </row>
    <row r="13">
      <c r="A13" s="16">
        <v>45517.0</v>
      </c>
      <c r="B13" s="17" t="s">
        <v>25</v>
      </c>
      <c r="C13" s="18"/>
      <c r="D13" s="21"/>
    </row>
    <row r="14">
      <c r="A14" s="16">
        <v>45518.0</v>
      </c>
      <c r="B14" s="17" t="s">
        <v>26</v>
      </c>
      <c r="C14" s="18"/>
      <c r="D14" s="19"/>
    </row>
    <row r="15">
      <c r="A15" s="16">
        <v>45519.0</v>
      </c>
      <c r="B15" s="17" t="s">
        <v>27</v>
      </c>
      <c r="C15" s="18">
        <v>80.0</v>
      </c>
      <c r="D15" s="21" t="s">
        <v>29</v>
      </c>
    </row>
    <row r="16">
      <c r="A16" s="16">
        <v>45520.0</v>
      </c>
      <c r="B16" s="17" t="s">
        <v>17</v>
      </c>
      <c r="C16" s="18">
        <v>28.0</v>
      </c>
      <c r="D16" s="19" t="s">
        <v>22</v>
      </c>
    </row>
    <row r="17">
      <c r="A17" s="16">
        <v>45521.0</v>
      </c>
      <c r="B17" s="17" t="s">
        <v>19</v>
      </c>
      <c r="C17" s="18">
        <v>75.0</v>
      </c>
      <c r="D17" s="19" t="s">
        <v>103</v>
      </c>
    </row>
    <row r="18">
      <c r="A18" s="16">
        <v>45522.0</v>
      </c>
      <c r="B18" s="17" t="s">
        <v>21</v>
      </c>
      <c r="C18" s="18">
        <v>50.0</v>
      </c>
      <c r="D18" s="19" t="s">
        <v>29</v>
      </c>
    </row>
    <row r="19">
      <c r="A19" s="16">
        <v>45523.0</v>
      </c>
      <c r="B19" s="17" t="s">
        <v>23</v>
      </c>
      <c r="C19" s="18">
        <v>132.0</v>
      </c>
      <c r="D19" s="19" t="s">
        <v>104</v>
      </c>
    </row>
    <row r="20">
      <c r="A20" s="16">
        <v>45524.0</v>
      </c>
      <c r="B20" s="17" t="s">
        <v>25</v>
      </c>
      <c r="C20" s="18">
        <v>28.0</v>
      </c>
      <c r="D20" s="19" t="s">
        <v>61</v>
      </c>
    </row>
    <row r="21">
      <c r="A21" s="16">
        <v>45525.0</v>
      </c>
      <c r="B21" s="17" t="s">
        <v>26</v>
      </c>
      <c r="C21" s="18">
        <v>51.0</v>
      </c>
      <c r="D21" s="19" t="s">
        <v>105</v>
      </c>
    </row>
    <row r="22">
      <c r="A22" s="16">
        <v>45526.0</v>
      </c>
      <c r="B22" s="17" t="s">
        <v>27</v>
      </c>
      <c r="C22" s="18"/>
      <c r="D22" s="19"/>
    </row>
    <row r="23">
      <c r="A23" s="16">
        <v>45527.0</v>
      </c>
      <c r="B23" s="17" t="s">
        <v>17</v>
      </c>
      <c r="C23" s="18"/>
      <c r="D23" s="19"/>
    </row>
    <row r="24">
      <c r="A24" s="16">
        <v>45528.0</v>
      </c>
      <c r="B24" s="17" t="s">
        <v>19</v>
      </c>
      <c r="C24" s="18"/>
      <c r="D24" s="19"/>
    </row>
    <row r="25">
      <c r="A25" s="16">
        <v>45529.0</v>
      </c>
      <c r="B25" s="17" t="s">
        <v>21</v>
      </c>
      <c r="C25" s="18"/>
      <c r="D25" s="19"/>
    </row>
    <row r="26">
      <c r="A26" s="16">
        <v>45530.0</v>
      </c>
      <c r="B26" s="17" t="s">
        <v>23</v>
      </c>
      <c r="C26" s="18"/>
      <c r="D26" s="19"/>
    </row>
    <row r="27">
      <c r="A27" s="16">
        <v>45531.0</v>
      </c>
      <c r="B27" s="17" t="s">
        <v>25</v>
      </c>
      <c r="C27" s="18"/>
      <c r="D27" s="21"/>
    </row>
    <row r="28">
      <c r="A28" s="16">
        <v>45532.0</v>
      </c>
      <c r="B28" s="17" t="s">
        <v>26</v>
      </c>
      <c r="C28" s="18"/>
      <c r="D28" s="21"/>
    </row>
    <row r="29">
      <c r="A29" s="16">
        <v>45533.0</v>
      </c>
      <c r="B29" s="17" t="s">
        <v>27</v>
      </c>
      <c r="C29" s="18"/>
      <c r="D29" s="19"/>
    </row>
    <row r="30">
      <c r="A30" s="16">
        <v>45534.0</v>
      </c>
      <c r="B30" s="17" t="s">
        <v>17</v>
      </c>
      <c r="C30" s="18"/>
      <c r="D30" s="19"/>
    </row>
    <row r="31">
      <c r="A31" s="16">
        <v>45535.0</v>
      </c>
      <c r="B31" s="17" t="s">
        <v>19</v>
      </c>
      <c r="C31" s="18">
        <v>160.0</v>
      </c>
      <c r="D31" s="19" t="s">
        <v>106</v>
      </c>
    </row>
  </sheetData>
  <conditionalFormatting sqref="E1">
    <cfRule type="cellIs" dxfId="1" priority="1" operator="greaterThanOrEqual">
      <formula>1200</formula>
    </cfRule>
  </conditionalFormatting>
  <conditionalFormatting sqref="E1">
    <cfRule type="cellIs" dxfId="2" priority="2" operator="between">
      <formula>1199</formula>
      <formula>1000</formula>
    </cfRule>
  </conditionalFormatting>
  <conditionalFormatting sqref="E1">
    <cfRule type="cellIs" dxfId="0" priority="3" operator="lessThanOrEqual">
      <formula>999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2" max="2" width="12.0"/>
    <col customWidth="1" min="3" max="3" width="9.5"/>
    <col customWidth="1" min="4" max="4" width="13.88"/>
    <col customWidth="1" min="5" max="5" width="32.63"/>
  </cols>
  <sheetData>
    <row r="1">
      <c r="A1" s="22" t="s">
        <v>107</v>
      </c>
      <c r="B1" s="22" t="s">
        <v>108</v>
      </c>
      <c r="C1" s="22" t="s">
        <v>1</v>
      </c>
      <c r="D1" s="22" t="s">
        <v>109</v>
      </c>
      <c r="E1" s="22" t="s">
        <v>110</v>
      </c>
      <c r="F1" s="22" t="s">
        <v>111</v>
      </c>
      <c r="G1" s="22" t="s">
        <v>112</v>
      </c>
      <c r="H1" s="22" t="s">
        <v>3</v>
      </c>
    </row>
    <row r="2">
      <c r="A2" s="16">
        <v>45536.0</v>
      </c>
      <c r="B2" s="17" t="s">
        <v>21</v>
      </c>
      <c r="C2" s="18"/>
      <c r="D2" s="23"/>
      <c r="E2" s="19"/>
      <c r="F2" s="9">
        <f t="shared" ref="F2:G2" si="1">SUM(C2:C31)</f>
        <v>1213.5</v>
      </c>
      <c r="G2" s="24">
        <f t="shared" si="1"/>
        <v>1661</v>
      </c>
      <c r="H2" s="25">
        <f>G2-F2</f>
        <v>447.5</v>
      </c>
    </row>
    <row r="3">
      <c r="A3" s="16">
        <v>45537.0</v>
      </c>
      <c r="B3" s="17" t="s">
        <v>23</v>
      </c>
      <c r="C3" s="18">
        <v>28.0</v>
      </c>
      <c r="D3" s="23"/>
      <c r="E3" s="19" t="s">
        <v>61</v>
      </c>
    </row>
    <row r="4">
      <c r="A4" s="16">
        <v>45538.0</v>
      </c>
      <c r="B4" s="17" t="s">
        <v>25</v>
      </c>
      <c r="C4" s="18"/>
      <c r="D4" s="23">
        <v>969.0</v>
      </c>
      <c r="E4" s="19" t="s">
        <v>113</v>
      </c>
    </row>
    <row r="5">
      <c r="A5" s="16">
        <v>45539.0</v>
      </c>
      <c r="B5" s="17" t="s">
        <v>26</v>
      </c>
      <c r="C5" s="18"/>
      <c r="D5" s="23"/>
      <c r="E5" s="19"/>
    </row>
    <row r="6">
      <c r="A6" s="16">
        <v>45540.0</v>
      </c>
      <c r="B6" s="17" t="s">
        <v>27</v>
      </c>
      <c r="C6" s="18">
        <v>500.0</v>
      </c>
      <c r="D6" s="23"/>
      <c r="E6" s="21" t="s">
        <v>78</v>
      </c>
    </row>
    <row r="7">
      <c r="A7" s="16">
        <v>45541.0</v>
      </c>
      <c r="B7" s="17" t="s">
        <v>17</v>
      </c>
      <c r="C7" s="18">
        <v>20.0</v>
      </c>
      <c r="D7" s="23"/>
      <c r="E7" s="21" t="s">
        <v>114</v>
      </c>
    </row>
    <row r="8">
      <c r="A8" s="16">
        <v>45542.0</v>
      </c>
      <c r="B8" s="17" t="s">
        <v>19</v>
      </c>
      <c r="C8" s="18">
        <v>20.0</v>
      </c>
      <c r="D8" s="23">
        <v>20.0</v>
      </c>
      <c r="E8" s="19" t="s">
        <v>115</v>
      </c>
    </row>
    <row r="9">
      <c r="A9" s="16">
        <v>45543.0</v>
      </c>
      <c r="B9" s="17" t="s">
        <v>21</v>
      </c>
      <c r="C9" s="18">
        <v>20.0</v>
      </c>
      <c r="D9" s="23"/>
      <c r="E9" s="19" t="s">
        <v>22</v>
      </c>
    </row>
    <row r="10">
      <c r="A10" s="16">
        <v>45544.0</v>
      </c>
      <c r="B10" s="17" t="s">
        <v>23</v>
      </c>
      <c r="C10" s="18"/>
      <c r="D10" s="23"/>
      <c r="E10" s="19"/>
    </row>
    <row r="11">
      <c r="A11" s="16">
        <v>45545.0</v>
      </c>
      <c r="B11" s="17" t="s">
        <v>25</v>
      </c>
      <c r="C11" s="18"/>
      <c r="D11" s="23"/>
      <c r="E11" s="19"/>
    </row>
    <row r="12">
      <c r="A12" s="16">
        <v>45546.0</v>
      </c>
      <c r="B12" s="17" t="s">
        <v>26</v>
      </c>
      <c r="C12" s="18">
        <v>100.0</v>
      </c>
      <c r="D12" s="23"/>
      <c r="E12" s="19" t="s">
        <v>116</v>
      </c>
    </row>
    <row r="13">
      <c r="A13" s="16">
        <v>45547.0</v>
      </c>
      <c r="B13" s="17" t="s">
        <v>27</v>
      </c>
      <c r="C13" s="18">
        <v>150.0</v>
      </c>
      <c r="D13" s="23"/>
      <c r="E13" s="19" t="s">
        <v>117</v>
      </c>
    </row>
    <row r="14">
      <c r="A14" s="16">
        <v>45548.0</v>
      </c>
      <c r="B14" s="17" t="s">
        <v>17</v>
      </c>
      <c r="C14" s="18">
        <v>109.0</v>
      </c>
      <c r="D14" s="23"/>
      <c r="E14" s="21" t="s">
        <v>118</v>
      </c>
    </row>
    <row r="15">
      <c r="A15" s="16">
        <v>45549.0</v>
      </c>
      <c r="B15" s="17" t="s">
        <v>19</v>
      </c>
      <c r="C15" s="18"/>
      <c r="D15" s="23">
        <v>20.0</v>
      </c>
      <c r="E15" s="19" t="s">
        <v>119</v>
      </c>
    </row>
    <row r="16">
      <c r="A16" s="16">
        <v>45550.0</v>
      </c>
      <c r="B16" s="17" t="s">
        <v>21</v>
      </c>
      <c r="C16" s="18"/>
      <c r="D16" s="23"/>
      <c r="E16" s="21"/>
    </row>
    <row r="17">
      <c r="A17" s="16">
        <v>45551.0</v>
      </c>
      <c r="B17" s="17" t="s">
        <v>23</v>
      </c>
      <c r="C17" s="18"/>
      <c r="D17" s="23"/>
      <c r="E17" s="19"/>
    </row>
    <row r="18">
      <c r="A18" s="16">
        <v>45552.0</v>
      </c>
      <c r="B18" s="17" t="s">
        <v>25</v>
      </c>
      <c r="C18" s="18"/>
      <c r="D18" s="23"/>
      <c r="E18" s="19"/>
    </row>
    <row r="19">
      <c r="A19" s="16">
        <v>45553.0</v>
      </c>
      <c r="B19" s="17" t="s">
        <v>26</v>
      </c>
      <c r="C19" s="18"/>
      <c r="D19" s="23">
        <v>632.0</v>
      </c>
      <c r="E19" s="19" t="s">
        <v>120</v>
      </c>
    </row>
    <row r="20">
      <c r="A20" s="16">
        <v>45554.0</v>
      </c>
      <c r="B20" s="17" t="s">
        <v>27</v>
      </c>
      <c r="C20" s="18"/>
      <c r="D20" s="23"/>
      <c r="E20" s="19"/>
    </row>
    <row r="21">
      <c r="A21" s="16">
        <v>45555.0</v>
      </c>
      <c r="B21" s="17" t="s">
        <v>17</v>
      </c>
      <c r="C21" s="18"/>
      <c r="D21" s="23"/>
      <c r="E21" s="19"/>
    </row>
    <row r="22">
      <c r="A22" s="16">
        <v>45556.0</v>
      </c>
      <c r="B22" s="17" t="s">
        <v>19</v>
      </c>
      <c r="C22" s="18">
        <v>88.0</v>
      </c>
      <c r="D22" s="23">
        <v>20.0</v>
      </c>
      <c r="E22" s="19" t="s">
        <v>121</v>
      </c>
    </row>
    <row r="23">
      <c r="A23" s="16">
        <v>45557.0</v>
      </c>
      <c r="B23" s="17" t="s">
        <v>21</v>
      </c>
      <c r="C23" s="18">
        <v>14.0</v>
      </c>
      <c r="D23" s="23"/>
      <c r="E23" s="19" t="s">
        <v>22</v>
      </c>
    </row>
    <row r="24">
      <c r="A24" s="16">
        <v>45558.0</v>
      </c>
      <c r="B24" s="17" t="s">
        <v>23</v>
      </c>
      <c r="C24" s="18"/>
      <c r="D24" s="23"/>
      <c r="E24" s="19"/>
    </row>
    <row r="25">
      <c r="A25" s="16">
        <v>45559.0</v>
      </c>
      <c r="B25" s="17" t="s">
        <v>25</v>
      </c>
      <c r="C25" s="18"/>
      <c r="D25" s="23"/>
      <c r="E25" s="19"/>
    </row>
    <row r="26">
      <c r="A26" s="16">
        <v>45560.0</v>
      </c>
      <c r="B26" s="17" t="s">
        <v>26</v>
      </c>
      <c r="C26" s="18"/>
      <c r="D26" s="23"/>
      <c r="E26" s="19"/>
    </row>
    <row r="27">
      <c r="A27" s="16">
        <v>45561.0</v>
      </c>
      <c r="B27" s="17" t="s">
        <v>27</v>
      </c>
      <c r="C27" s="18">
        <v>30.0</v>
      </c>
      <c r="D27" s="23"/>
      <c r="E27" s="19" t="s">
        <v>29</v>
      </c>
    </row>
    <row r="28">
      <c r="A28" s="16">
        <v>45562.0</v>
      </c>
      <c r="B28" s="17" t="s">
        <v>17</v>
      </c>
      <c r="C28" s="18">
        <v>13.5</v>
      </c>
      <c r="D28" s="23"/>
      <c r="E28" s="19" t="s">
        <v>122</v>
      </c>
    </row>
    <row r="29">
      <c r="A29" s="16">
        <v>45563.0</v>
      </c>
      <c r="B29" s="17" t="s">
        <v>19</v>
      </c>
      <c r="C29" s="18">
        <v>57.0</v>
      </c>
      <c r="D29" s="23"/>
      <c r="E29" s="19" t="s">
        <v>123</v>
      </c>
    </row>
    <row r="30">
      <c r="A30" s="16">
        <v>45564.0</v>
      </c>
      <c r="B30" s="17" t="s">
        <v>21</v>
      </c>
      <c r="C30" s="18">
        <v>14.0</v>
      </c>
      <c r="D30" s="23"/>
      <c r="E30" s="19" t="s">
        <v>40</v>
      </c>
    </row>
    <row r="31">
      <c r="A31" s="16">
        <v>45565.0</v>
      </c>
      <c r="B31" s="17" t="s">
        <v>23</v>
      </c>
      <c r="C31" s="18">
        <v>50.0</v>
      </c>
      <c r="D31" s="23"/>
      <c r="E31" s="19" t="s">
        <v>29</v>
      </c>
    </row>
  </sheetData>
  <conditionalFormatting sqref="F2">
    <cfRule type="cellIs" dxfId="1" priority="1" operator="greaterThanOrEqual">
      <formula>1200</formula>
    </cfRule>
  </conditionalFormatting>
  <conditionalFormatting sqref="F2">
    <cfRule type="cellIs" dxfId="2" priority="2" operator="between">
      <formula>1199</formula>
      <formula>1000</formula>
    </cfRule>
  </conditionalFormatting>
  <conditionalFormatting sqref="F2">
    <cfRule type="cellIs" dxfId="0" priority="3" operator="lessThanOrEqual">
      <formula>999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34.13"/>
  </cols>
  <sheetData>
    <row r="1">
      <c r="A1" s="22" t="s">
        <v>107</v>
      </c>
      <c r="B1" s="22" t="s">
        <v>108</v>
      </c>
      <c r="C1" s="22" t="s">
        <v>1</v>
      </c>
      <c r="D1" s="22" t="s">
        <v>2</v>
      </c>
      <c r="E1" s="22" t="s">
        <v>110</v>
      </c>
      <c r="F1" s="22" t="s">
        <v>1</v>
      </c>
      <c r="G1" s="22" t="s">
        <v>2</v>
      </c>
      <c r="H1" s="22" t="s">
        <v>3</v>
      </c>
    </row>
    <row r="2">
      <c r="A2" s="16">
        <v>45566.0</v>
      </c>
      <c r="B2" s="17" t="s">
        <v>124</v>
      </c>
      <c r="C2" s="18">
        <v>0.0</v>
      </c>
      <c r="D2" s="26">
        <v>0.0</v>
      </c>
      <c r="E2" s="17"/>
      <c r="F2" s="9">
        <f t="shared" ref="F2:G2" si="1">SUM(C2:C32)</f>
        <v>1427</v>
      </c>
      <c r="G2" s="14">
        <f t="shared" si="1"/>
        <v>1979</v>
      </c>
      <c r="H2" s="25">
        <f>G2-F2</f>
        <v>552</v>
      </c>
    </row>
    <row r="3">
      <c r="A3" s="16">
        <v>45567.0</v>
      </c>
      <c r="B3" s="17" t="s">
        <v>26</v>
      </c>
      <c r="C3" s="18">
        <v>68.0</v>
      </c>
      <c r="D3" s="26"/>
      <c r="E3" s="17" t="s">
        <v>125</v>
      </c>
    </row>
    <row r="4">
      <c r="A4" s="16">
        <v>45568.0</v>
      </c>
      <c r="B4" s="17" t="s">
        <v>27</v>
      </c>
      <c r="C4" s="18"/>
      <c r="D4" s="26">
        <v>1077.0</v>
      </c>
      <c r="E4" s="17" t="s">
        <v>113</v>
      </c>
    </row>
    <row r="5">
      <c r="A5" s="16">
        <v>45569.0</v>
      </c>
      <c r="B5" s="17" t="s">
        <v>17</v>
      </c>
      <c r="C5" s="18"/>
      <c r="D5" s="26">
        <v>150.0</v>
      </c>
      <c r="E5" s="17" t="s">
        <v>126</v>
      </c>
    </row>
    <row r="6">
      <c r="A6" s="16">
        <v>45570.0</v>
      </c>
      <c r="B6" s="17" t="s">
        <v>19</v>
      </c>
      <c r="C6" s="18">
        <v>528.0</v>
      </c>
      <c r="D6" s="26">
        <v>20.0</v>
      </c>
      <c r="E6" s="17" t="s">
        <v>127</v>
      </c>
    </row>
    <row r="7">
      <c r="A7" s="16">
        <v>45571.0</v>
      </c>
      <c r="B7" s="17" t="s">
        <v>21</v>
      </c>
      <c r="C7" s="18">
        <v>49.0</v>
      </c>
      <c r="D7" s="27"/>
      <c r="E7" s="17" t="s">
        <v>128</v>
      </c>
    </row>
    <row r="8">
      <c r="A8" s="16">
        <v>45572.0</v>
      </c>
      <c r="B8" s="17" t="s">
        <v>23</v>
      </c>
      <c r="C8" s="18">
        <v>25.0</v>
      </c>
      <c r="D8" s="26"/>
      <c r="E8" s="17" t="s">
        <v>129</v>
      </c>
    </row>
    <row r="9">
      <c r="A9" s="16">
        <v>45573.0</v>
      </c>
      <c r="B9" s="17" t="s">
        <v>25</v>
      </c>
      <c r="C9" s="18"/>
      <c r="D9" s="26"/>
      <c r="E9" s="17"/>
    </row>
    <row r="10">
      <c r="A10" s="16">
        <v>45574.0</v>
      </c>
      <c r="B10" s="17" t="s">
        <v>26</v>
      </c>
      <c r="C10" s="18"/>
      <c r="D10" s="26"/>
      <c r="E10" s="17"/>
    </row>
    <row r="11">
      <c r="A11" s="16">
        <v>45575.0</v>
      </c>
      <c r="B11" s="17" t="s">
        <v>27</v>
      </c>
      <c r="C11" s="18">
        <v>270.0</v>
      </c>
      <c r="D11" s="26"/>
      <c r="E11" s="17" t="s">
        <v>130</v>
      </c>
    </row>
    <row r="12">
      <c r="A12" s="16">
        <v>45576.0</v>
      </c>
      <c r="B12" s="17" t="s">
        <v>17</v>
      </c>
      <c r="C12" s="18"/>
      <c r="D12" s="26">
        <v>40.0</v>
      </c>
      <c r="E12" s="17" t="s">
        <v>131</v>
      </c>
    </row>
    <row r="13">
      <c r="A13" s="16">
        <v>45577.0</v>
      </c>
      <c r="B13" s="17" t="s">
        <v>19</v>
      </c>
      <c r="C13" s="18"/>
      <c r="D13" s="18"/>
      <c r="E13" s="17"/>
    </row>
    <row r="14">
      <c r="A14" s="16">
        <v>45578.0</v>
      </c>
      <c r="B14" s="17" t="s">
        <v>21</v>
      </c>
      <c r="C14" s="18">
        <v>21.0</v>
      </c>
      <c r="D14" s="27"/>
      <c r="E14" s="17" t="s">
        <v>22</v>
      </c>
    </row>
    <row r="15">
      <c r="A15" s="16">
        <v>45579.0</v>
      </c>
      <c r="B15" s="17" t="s">
        <v>23</v>
      </c>
      <c r="C15" s="18">
        <v>200.0</v>
      </c>
      <c r="D15" s="26"/>
      <c r="E15" s="17" t="s">
        <v>29</v>
      </c>
    </row>
    <row r="16">
      <c r="A16" s="16">
        <v>45580.0</v>
      </c>
      <c r="B16" s="17" t="s">
        <v>25</v>
      </c>
      <c r="C16" s="18">
        <v>9.0</v>
      </c>
      <c r="D16" s="27"/>
      <c r="E16" s="17" t="s">
        <v>132</v>
      </c>
    </row>
    <row r="17">
      <c r="A17" s="16">
        <v>45581.0</v>
      </c>
      <c r="B17" s="17" t="s">
        <v>26</v>
      </c>
      <c r="C17" s="18">
        <v>0.0</v>
      </c>
      <c r="D17" s="26"/>
      <c r="E17" s="17"/>
    </row>
    <row r="18">
      <c r="A18" s="16">
        <v>45582.0</v>
      </c>
      <c r="B18" s="17" t="s">
        <v>27</v>
      </c>
      <c r="C18" s="18"/>
      <c r="D18" s="26">
        <v>632.0</v>
      </c>
      <c r="E18" s="17" t="s">
        <v>133</v>
      </c>
    </row>
    <row r="19">
      <c r="A19" s="16">
        <v>45583.0</v>
      </c>
      <c r="B19" s="17" t="s">
        <v>17</v>
      </c>
      <c r="C19" s="18">
        <v>9.5</v>
      </c>
      <c r="D19" s="26"/>
      <c r="E19" s="17" t="s">
        <v>134</v>
      </c>
    </row>
    <row r="20">
      <c r="A20" s="16">
        <v>45584.0</v>
      </c>
      <c r="B20" s="17" t="s">
        <v>19</v>
      </c>
      <c r="C20" s="18">
        <v>40.5</v>
      </c>
      <c r="D20" s="26">
        <v>20.0</v>
      </c>
      <c r="E20" s="17" t="s">
        <v>135</v>
      </c>
    </row>
    <row r="21">
      <c r="A21" s="16">
        <v>45585.0</v>
      </c>
      <c r="B21" s="17" t="s">
        <v>21</v>
      </c>
      <c r="C21" s="18">
        <v>20.0</v>
      </c>
      <c r="D21" s="26">
        <v>10.0</v>
      </c>
      <c r="E21" s="17" t="s">
        <v>136</v>
      </c>
    </row>
    <row r="22">
      <c r="A22" s="16">
        <v>45586.0</v>
      </c>
      <c r="B22" s="17" t="s">
        <v>23</v>
      </c>
      <c r="C22" s="18">
        <v>4.0</v>
      </c>
      <c r="D22" s="26"/>
      <c r="E22" s="17" t="s">
        <v>137</v>
      </c>
    </row>
    <row r="23">
      <c r="A23" s="16">
        <v>45587.0</v>
      </c>
      <c r="B23" s="17" t="s">
        <v>25</v>
      </c>
      <c r="C23" s="18">
        <v>86.0</v>
      </c>
      <c r="D23" s="26"/>
      <c r="E23" s="17" t="s">
        <v>118</v>
      </c>
    </row>
    <row r="24">
      <c r="A24" s="16">
        <v>45588.0</v>
      </c>
      <c r="B24" s="17" t="s">
        <v>26</v>
      </c>
      <c r="C24" s="18"/>
      <c r="D24" s="26"/>
      <c r="E24" s="17"/>
    </row>
    <row r="25">
      <c r="A25" s="16">
        <v>45589.0</v>
      </c>
      <c r="B25" s="17" t="s">
        <v>27</v>
      </c>
      <c r="C25" s="18"/>
      <c r="D25" s="26"/>
      <c r="E25" s="17"/>
    </row>
    <row r="26">
      <c r="A26" s="16">
        <v>45590.0</v>
      </c>
      <c r="B26" s="17" t="s">
        <v>17</v>
      </c>
      <c r="C26" s="18"/>
      <c r="D26" s="26"/>
      <c r="E26" s="17"/>
    </row>
    <row r="27">
      <c r="A27" s="16">
        <v>45591.0</v>
      </c>
      <c r="B27" s="17" t="s">
        <v>19</v>
      </c>
      <c r="C27" s="18">
        <v>61.5</v>
      </c>
      <c r="D27" s="26">
        <v>20.0</v>
      </c>
      <c r="E27" s="28" t="s">
        <v>138</v>
      </c>
    </row>
    <row r="28">
      <c r="A28" s="16">
        <v>45592.0</v>
      </c>
      <c r="B28" s="17" t="s">
        <v>21</v>
      </c>
      <c r="C28" s="18">
        <v>22.0</v>
      </c>
      <c r="D28" s="26"/>
      <c r="E28" s="17" t="s">
        <v>22</v>
      </c>
    </row>
    <row r="29">
      <c r="A29" s="16">
        <v>45593.0</v>
      </c>
      <c r="B29" s="17" t="s">
        <v>23</v>
      </c>
      <c r="C29" s="18"/>
      <c r="D29" s="27"/>
      <c r="E29" s="17"/>
    </row>
    <row r="30">
      <c r="A30" s="16">
        <v>45594.0</v>
      </c>
      <c r="B30" s="17" t="s">
        <v>25</v>
      </c>
      <c r="C30" s="18">
        <v>9.5</v>
      </c>
      <c r="D30" s="26"/>
      <c r="E30" s="17" t="s">
        <v>139</v>
      </c>
    </row>
    <row r="31">
      <c r="A31" s="16">
        <v>45595.0</v>
      </c>
      <c r="B31" s="17" t="s">
        <v>26</v>
      </c>
      <c r="C31" s="18">
        <v>4.0</v>
      </c>
      <c r="D31" s="26">
        <v>10.0</v>
      </c>
      <c r="E31" s="17" t="s">
        <v>140</v>
      </c>
    </row>
    <row r="32">
      <c r="A32" s="16">
        <v>45596.0</v>
      </c>
      <c r="B32" s="17" t="s">
        <v>27</v>
      </c>
      <c r="C32" s="18"/>
      <c r="D32" s="26"/>
      <c r="E32" s="17"/>
    </row>
  </sheetData>
  <conditionalFormatting sqref="F2">
    <cfRule type="cellIs" dxfId="1" priority="1" operator="greaterThanOrEqual">
      <formula>1200</formula>
    </cfRule>
  </conditionalFormatting>
  <conditionalFormatting sqref="F2">
    <cfRule type="cellIs" dxfId="2" priority="2" operator="between">
      <formula>1199</formula>
      <formula>1000</formula>
    </cfRule>
  </conditionalFormatting>
  <conditionalFormatting sqref="F2">
    <cfRule type="cellIs" dxfId="0" priority="3" operator="lessThanOrEqual">
      <formula>999</formula>
    </cfRule>
  </conditionalFormatting>
  <conditionalFormatting sqref="G2">
    <cfRule type="notContainsBlanks" dxfId="0" priority="4">
      <formula>LEN(TRIM(G2))&gt;0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9.5"/>
    <col customWidth="1" min="4" max="4" width="13.88"/>
    <col customWidth="1" min="5" max="5" width="30.5"/>
  </cols>
  <sheetData>
    <row r="1">
      <c r="A1" s="22" t="s">
        <v>107</v>
      </c>
      <c r="B1" s="22" t="s">
        <v>108</v>
      </c>
      <c r="C1" s="22" t="s">
        <v>1</v>
      </c>
      <c r="D1" s="22" t="s">
        <v>109</v>
      </c>
      <c r="E1" s="22" t="s">
        <v>110</v>
      </c>
      <c r="F1" s="22" t="s">
        <v>111</v>
      </c>
      <c r="G1" s="22" t="s">
        <v>112</v>
      </c>
      <c r="H1" s="22" t="s">
        <v>3</v>
      </c>
    </row>
    <row r="2">
      <c r="A2" s="16">
        <v>45597.0</v>
      </c>
      <c r="B2" s="17" t="s">
        <v>141</v>
      </c>
      <c r="C2" s="18">
        <v>22.0</v>
      </c>
      <c r="D2" s="26">
        <v>20.0</v>
      </c>
      <c r="E2" s="17" t="s">
        <v>142</v>
      </c>
      <c r="F2" s="9">
        <f t="shared" ref="F2:G2" si="1">SUM(C2:C31)</f>
        <v>1080.34</v>
      </c>
      <c r="G2" s="14">
        <f t="shared" si="1"/>
        <v>2859</v>
      </c>
      <c r="H2" s="25">
        <f>G2-F2</f>
        <v>1778.66</v>
      </c>
    </row>
    <row r="3">
      <c r="A3" s="16">
        <v>45598.0</v>
      </c>
      <c r="B3" s="17" t="s">
        <v>19</v>
      </c>
      <c r="C3" s="18">
        <v>21.0</v>
      </c>
      <c r="D3" s="26"/>
      <c r="E3" s="17" t="s">
        <v>22</v>
      </c>
    </row>
    <row r="4">
      <c r="A4" s="16">
        <v>45599.0</v>
      </c>
      <c r="B4" s="17" t="s">
        <v>21</v>
      </c>
      <c r="C4" s="18"/>
      <c r="D4" s="26"/>
      <c r="E4" s="17"/>
    </row>
    <row r="5">
      <c r="A5" s="16">
        <v>45600.0</v>
      </c>
      <c r="B5" s="17" t="s">
        <v>23</v>
      </c>
      <c r="C5" s="18">
        <v>31.0</v>
      </c>
      <c r="D5" s="26"/>
      <c r="E5" s="17" t="s">
        <v>143</v>
      </c>
    </row>
    <row r="6">
      <c r="A6" s="16">
        <v>45601.0</v>
      </c>
      <c r="B6" s="17" t="s">
        <v>25</v>
      </c>
      <c r="C6" s="18">
        <v>500.0</v>
      </c>
      <c r="D6" s="26">
        <v>150.0</v>
      </c>
      <c r="E6" s="17" t="s">
        <v>144</v>
      </c>
    </row>
    <row r="7">
      <c r="A7" s="16">
        <v>45602.0</v>
      </c>
      <c r="B7" s="17" t="s">
        <v>26</v>
      </c>
      <c r="C7" s="18">
        <v>5.0</v>
      </c>
      <c r="D7" s="26">
        <v>1219.0</v>
      </c>
      <c r="E7" s="17" t="s">
        <v>145</v>
      </c>
    </row>
    <row r="8">
      <c r="A8" s="16">
        <v>45603.0</v>
      </c>
      <c r="B8" s="17" t="s">
        <v>27</v>
      </c>
      <c r="C8" s="18"/>
      <c r="D8" s="26"/>
      <c r="E8" s="17"/>
    </row>
    <row r="9">
      <c r="A9" s="16">
        <v>45604.0</v>
      </c>
      <c r="B9" s="17" t="s">
        <v>17</v>
      </c>
      <c r="C9" s="18"/>
      <c r="D9" s="26"/>
      <c r="E9" s="17"/>
    </row>
    <row r="10">
      <c r="A10" s="16">
        <v>45605.0</v>
      </c>
      <c r="B10" s="17" t="s">
        <v>19</v>
      </c>
      <c r="C10" s="18"/>
      <c r="D10" s="26">
        <v>20.0</v>
      </c>
      <c r="E10" s="17" t="s">
        <v>119</v>
      </c>
    </row>
    <row r="11">
      <c r="A11" s="16">
        <v>45606.0</v>
      </c>
      <c r="B11" s="17" t="s">
        <v>21</v>
      </c>
      <c r="C11" s="18">
        <v>25.0</v>
      </c>
      <c r="D11" s="26"/>
      <c r="E11" s="17" t="s">
        <v>22</v>
      </c>
    </row>
    <row r="12">
      <c r="A12" s="16">
        <v>45607.0</v>
      </c>
      <c r="B12" s="17" t="s">
        <v>23</v>
      </c>
      <c r="C12" s="18">
        <v>132.0</v>
      </c>
      <c r="D12" s="26"/>
      <c r="E12" s="17" t="s">
        <v>146</v>
      </c>
    </row>
    <row r="13">
      <c r="A13" s="16">
        <v>45608.0</v>
      </c>
      <c r="B13" s="17" t="s">
        <v>25</v>
      </c>
      <c r="C13" s="18">
        <v>30.0</v>
      </c>
      <c r="D13" s="26"/>
      <c r="E13" s="17" t="s">
        <v>31</v>
      </c>
    </row>
    <row r="14">
      <c r="A14" s="16">
        <v>45609.0</v>
      </c>
      <c r="B14" s="17" t="s">
        <v>26</v>
      </c>
      <c r="C14" s="18">
        <v>90.0</v>
      </c>
      <c r="D14" s="26">
        <v>632.0</v>
      </c>
      <c r="E14" s="17" t="s">
        <v>147</v>
      </c>
    </row>
    <row r="15">
      <c r="A15" s="16">
        <v>45610.0</v>
      </c>
      <c r="B15" s="17" t="s">
        <v>27</v>
      </c>
      <c r="C15" s="18">
        <v>2.5</v>
      </c>
      <c r="D15" s="26"/>
      <c r="E15" s="17" t="s">
        <v>148</v>
      </c>
    </row>
    <row r="16">
      <c r="A16" s="16">
        <v>45611.0</v>
      </c>
      <c r="B16" s="17" t="s">
        <v>17</v>
      </c>
      <c r="C16" s="18">
        <v>10.63</v>
      </c>
      <c r="D16" s="27"/>
      <c r="E16" s="17" t="s">
        <v>149</v>
      </c>
    </row>
    <row r="17">
      <c r="A17" s="16">
        <v>45612.0</v>
      </c>
      <c r="B17" s="17" t="s">
        <v>19</v>
      </c>
      <c r="C17" s="18"/>
      <c r="D17" s="26">
        <v>20.0</v>
      </c>
      <c r="E17" s="17" t="s">
        <v>119</v>
      </c>
    </row>
    <row r="18">
      <c r="A18" s="16">
        <v>45613.0</v>
      </c>
      <c r="B18" s="17" t="s">
        <v>21</v>
      </c>
      <c r="C18" s="18">
        <v>36.0</v>
      </c>
      <c r="D18" s="26"/>
      <c r="E18" s="17" t="s">
        <v>22</v>
      </c>
    </row>
    <row r="19">
      <c r="A19" s="16">
        <v>45614.0</v>
      </c>
      <c r="B19" s="17" t="s">
        <v>23</v>
      </c>
      <c r="C19" s="18"/>
      <c r="D19" s="26"/>
      <c r="E19" s="17"/>
    </row>
    <row r="20">
      <c r="A20" s="16">
        <v>45615.0</v>
      </c>
      <c r="B20" s="17" t="s">
        <v>25</v>
      </c>
      <c r="C20" s="18">
        <v>30.34</v>
      </c>
      <c r="D20" s="26"/>
      <c r="E20" s="17" t="s">
        <v>150</v>
      </c>
    </row>
    <row r="21">
      <c r="A21" s="16">
        <v>45616.0</v>
      </c>
      <c r="B21" s="17" t="s">
        <v>26</v>
      </c>
      <c r="C21" s="18">
        <v>20.0</v>
      </c>
      <c r="D21" s="26"/>
      <c r="E21" s="17" t="s">
        <v>151</v>
      </c>
    </row>
    <row r="22">
      <c r="A22" s="16">
        <v>45617.0</v>
      </c>
      <c r="B22" s="17" t="s">
        <v>27</v>
      </c>
      <c r="C22" s="18"/>
      <c r="D22" s="26"/>
      <c r="E22" s="17"/>
    </row>
    <row r="23">
      <c r="A23" s="16">
        <v>45618.0</v>
      </c>
      <c r="B23" s="17" t="s">
        <v>17</v>
      </c>
      <c r="C23" s="18"/>
      <c r="D23" s="26"/>
      <c r="E23" s="17"/>
    </row>
    <row r="24">
      <c r="A24" s="16">
        <v>45619.0</v>
      </c>
      <c r="B24" s="17" t="s">
        <v>19</v>
      </c>
      <c r="C24" s="18">
        <v>15.5</v>
      </c>
      <c r="D24" s="26">
        <v>20.0</v>
      </c>
      <c r="E24" s="17" t="s">
        <v>152</v>
      </c>
    </row>
    <row r="25">
      <c r="A25" s="16">
        <v>45620.0</v>
      </c>
      <c r="B25" s="17" t="s">
        <v>21</v>
      </c>
      <c r="C25" s="18">
        <v>13.37</v>
      </c>
      <c r="D25" s="26"/>
      <c r="E25" s="17" t="s">
        <v>153</v>
      </c>
    </row>
    <row r="26">
      <c r="A26" s="16">
        <v>45621.0</v>
      </c>
      <c r="B26" s="17" t="s">
        <v>23</v>
      </c>
      <c r="C26" s="18"/>
      <c r="D26" s="26">
        <v>778.0</v>
      </c>
      <c r="E26" s="17" t="s">
        <v>154</v>
      </c>
    </row>
    <row r="27">
      <c r="A27" s="16">
        <v>45622.0</v>
      </c>
      <c r="B27" s="17" t="s">
        <v>25</v>
      </c>
      <c r="C27" s="18">
        <v>96.0</v>
      </c>
      <c r="D27" s="26"/>
      <c r="E27" s="17" t="s">
        <v>155</v>
      </c>
    </row>
    <row r="28">
      <c r="A28" s="16">
        <v>45623.0</v>
      </c>
      <c r="B28" s="17" t="s">
        <v>26</v>
      </c>
      <c r="C28" s="18"/>
      <c r="D28" s="27"/>
      <c r="E28" s="17"/>
    </row>
    <row r="29">
      <c r="A29" s="16">
        <v>45624.0</v>
      </c>
      <c r="B29" s="17" t="s">
        <v>27</v>
      </c>
      <c r="C29" s="18"/>
      <c r="D29" s="27"/>
      <c r="E29" s="17"/>
    </row>
    <row r="30">
      <c r="A30" s="16">
        <v>45625.0</v>
      </c>
      <c r="B30" s="17" t="s">
        <v>17</v>
      </c>
      <c r="C30" s="18"/>
      <c r="D30" s="26"/>
      <c r="E30" s="17"/>
    </row>
    <row r="31">
      <c r="A31" s="16">
        <v>45626.0</v>
      </c>
      <c r="B31" s="17" t="s">
        <v>19</v>
      </c>
      <c r="C31" s="18"/>
      <c r="D31" s="26"/>
      <c r="E31" s="17"/>
    </row>
  </sheetData>
  <conditionalFormatting sqref="F2">
    <cfRule type="cellIs" dxfId="1" priority="1" operator="greaterThanOrEqual">
      <formula>1200</formula>
    </cfRule>
  </conditionalFormatting>
  <conditionalFormatting sqref="F2">
    <cfRule type="cellIs" dxfId="2" priority="2" operator="between">
      <formula>1199</formula>
      <formula>1000</formula>
    </cfRule>
  </conditionalFormatting>
  <conditionalFormatting sqref="F2">
    <cfRule type="cellIs" dxfId="0" priority="3" operator="lessThanOrEqual">
      <formula>999</formula>
    </cfRule>
  </conditionalFormatting>
  <conditionalFormatting sqref="G2">
    <cfRule type="notContainsBlanks" dxfId="0" priority="4">
      <formula>LEN(TRIM(G2))&gt;0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4" max="4" width="13.88"/>
    <col customWidth="1" min="5" max="5" width="31.38"/>
  </cols>
  <sheetData>
    <row r="1">
      <c r="A1" s="22" t="s">
        <v>107</v>
      </c>
      <c r="B1" s="22" t="s">
        <v>108</v>
      </c>
      <c r="C1" s="22" t="s">
        <v>1</v>
      </c>
      <c r="D1" s="22" t="s">
        <v>109</v>
      </c>
      <c r="E1" s="22" t="s">
        <v>110</v>
      </c>
      <c r="F1" s="22" t="s">
        <v>111</v>
      </c>
      <c r="G1" s="22" t="s">
        <v>112</v>
      </c>
      <c r="H1" s="22" t="s">
        <v>3</v>
      </c>
    </row>
    <row r="2">
      <c r="A2" s="16">
        <v>45627.0</v>
      </c>
      <c r="B2" s="17" t="s">
        <v>156</v>
      </c>
      <c r="C2" s="18">
        <v>127.59</v>
      </c>
      <c r="D2" s="23">
        <v>0.0</v>
      </c>
      <c r="E2" s="17" t="s">
        <v>157</v>
      </c>
      <c r="F2" s="9">
        <f t="shared" ref="F2:G2" si="1">SUM(C2:C31)</f>
        <v>1497.12</v>
      </c>
      <c r="G2" s="14">
        <f t="shared" si="1"/>
        <v>2694</v>
      </c>
      <c r="H2" s="25">
        <f>G2-F2</f>
        <v>1196.88</v>
      </c>
    </row>
    <row r="3">
      <c r="A3" s="16">
        <v>45628.0</v>
      </c>
      <c r="B3" s="17" t="s">
        <v>23</v>
      </c>
      <c r="C3" s="18"/>
      <c r="D3" s="23">
        <v>1102.0</v>
      </c>
      <c r="E3" s="17" t="s">
        <v>158</v>
      </c>
    </row>
    <row r="4">
      <c r="A4" s="16">
        <v>45629.0</v>
      </c>
      <c r="B4" s="17" t="s">
        <v>25</v>
      </c>
      <c r="C4" s="18"/>
      <c r="D4" s="23"/>
      <c r="E4" s="17"/>
    </row>
    <row r="5">
      <c r="A5" s="16">
        <v>45630.0</v>
      </c>
      <c r="B5" s="17" t="s">
        <v>26</v>
      </c>
      <c r="C5" s="18"/>
      <c r="D5" s="23"/>
      <c r="E5" s="17"/>
    </row>
    <row r="6">
      <c r="A6" s="16">
        <v>45631.0</v>
      </c>
      <c r="B6" s="17" t="s">
        <v>27</v>
      </c>
      <c r="C6" s="18">
        <v>500.0</v>
      </c>
      <c r="D6" s="23">
        <v>150.0</v>
      </c>
      <c r="E6" s="17" t="s">
        <v>159</v>
      </c>
    </row>
    <row r="7">
      <c r="A7" s="16">
        <v>45632.0</v>
      </c>
      <c r="B7" s="17" t="s">
        <v>17</v>
      </c>
      <c r="C7" s="18"/>
      <c r="D7" s="29"/>
      <c r="E7" s="17"/>
    </row>
    <row r="8">
      <c r="A8" s="16">
        <v>45633.0</v>
      </c>
      <c r="B8" s="17" t="s">
        <v>19</v>
      </c>
      <c r="C8" s="18">
        <v>8.0</v>
      </c>
      <c r="D8" s="23">
        <v>20.0</v>
      </c>
      <c r="E8" s="17" t="s">
        <v>160</v>
      </c>
    </row>
    <row r="9">
      <c r="A9" s="16">
        <v>45634.0</v>
      </c>
      <c r="B9" s="17" t="s">
        <v>21</v>
      </c>
      <c r="C9" s="18"/>
      <c r="D9" s="23"/>
      <c r="E9" s="17"/>
    </row>
    <row r="10">
      <c r="A10" s="16">
        <v>45635.0</v>
      </c>
      <c r="B10" s="17" t="s">
        <v>23</v>
      </c>
      <c r="C10" s="18">
        <v>288.53</v>
      </c>
      <c r="D10" s="23"/>
      <c r="E10" s="17" t="s">
        <v>161</v>
      </c>
    </row>
    <row r="11">
      <c r="A11" s="16">
        <v>45636.0</v>
      </c>
      <c r="B11" s="17" t="s">
        <v>25</v>
      </c>
      <c r="C11" s="18">
        <v>8.0</v>
      </c>
      <c r="D11" s="23"/>
      <c r="E11" s="17" t="s">
        <v>139</v>
      </c>
    </row>
    <row r="12">
      <c r="A12" s="16">
        <v>45637.0</v>
      </c>
      <c r="B12" s="17" t="s">
        <v>26</v>
      </c>
      <c r="C12" s="18">
        <v>23.0</v>
      </c>
      <c r="D12" s="23">
        <v>632.0</v>
      </c>
      <c r="E12" s="17" t="s">
        <v>162</v>
      </c>
    </row>
    <row r="13">
      <c r="A13" s="16">
        <v>45638.0</v>
      </c>
      <c r="B13" s="17" t="s">
        <v>27</v>
      </c>
      <c r="C13" s="18"/>
      <c r="D13" s="23"/>
      <c r="E13" s="17"/>
    </row>
    <row r="14">
      <c r="A14" s="16">
        <v>45639.0</v>
      </c>
      <c r="B14" s="17" t="s">
        <v>17</v>
      </c>
      <c r="C14" s="18"/>
      <c r="D14" s="23">
        <v>20.0</v>
      </c>
      <c r="E14" s="17" t="s">
        <v>163</v>
      </c>
    </row>
    <row r="15">
      <c r="A15" s="16">
        <v>45640.0</v>
      </c>
      <c r="B15" s="17" t="s">
        <v>19</v>
      </c>
      <c r="C15" s="18">
        <v>100.0</v>
      </c>
      <c r="D15" s="23">
        <v>20.0</v>
      </c>
      <c r="E15" s="17" t="s">
        <v>164</v>
      </c>
    </row>
    <row r="16">
      <c r="A16" s="16">
        <v>45641.0</v>
      </c>
      <c r="B16" s="17" t="s">
        <v>21</v>
      </c>
      <c r="C16" s="18"/>
      <c r="D16" s="29"/>
      <c r="E16" s="17"/>
    </row>
    <row r="17">
      <c r="A17" s="16">
        <v>45642.0</v>
      </c>
      <c r="B17" s="17" t="s">
        <v>23</v>
      </c>
      <c r="C17" s="18"/>
      <c r="D17" s="23"/>
      <c r="E17" s="17"/>
    </row>
    <row r="18">
      <c r="A18" s="16">
        <v>45643.0</v>
      </c>
      <c r="B18" s="17" t="s">
        <v>25</v>
      </c>
      <c r="C18" s="18"/>
      <c r="D18" s="23"/>
      <c r="E18" s="17"/>
    </row>
    <row r="19">
      <c r="A19" s="16">
        <v>45644.0</v>
      </c>
      <c r="B19" s="17" t="s">
        <v>26</v>
      </c>
      <c r="C19" s="18"/>
      <c r="D19" s="23"/>
      <c r="E19" s="17"/>
    </row>
    <row r="20">
      <c r="A20" s="16">
        <v>45645.0</v>
      </c>
      <c r="B20" s="17" t="s">
        <v>27</v>
      </c>
      <c r="C20" s="18"/>
      <c r="D20" s="23"/>
      <c r="E20" s="17"/>
    </row>
    <row r="21">
      <c r="A21" s="16">
        <v>45646.0</v>
      </c>
      <c r="B21" s="17" t="s">
        <v>17</v>
      </c>
      <c r="C21" s="18"/>
      <c r="D21" s="23">
        <v>730.0</v>
      </c>
      <c r="E21" s="17" t="s">
        <v>154</v>
      </c>
    </row>
    <row r="22">
      <c r="A22" s="16">
        <v>45647.0</v>
      </c>
      <c r="B22" s="17" t="s">
        <v>19</v>
      </c>
      <c r="C22" s="18"/>
      <c r="D22" s="23">
        <v>20.0</v>
      </c>
      <c r="E22" s="17" t="s">
        <v>119</v>
      </c>
    </row>
    <row r="23">
      <c r="A23" s="16">
        <v>45648.0</v>
      </c>
      <c r="B23" s="17" t="s">
        <v>21</v>
      </c>
      <c r="C23" s="18"/>
      <c r="D23" s="23"/>
      <c r="E23" s="17"/>
    </row>
    <row r="24">
      <c r="A24" s="16">
        <v>45649.0</v>
      </c>
      <c r="B24" s="17" t="s">
        <v>23</v>
      </c>
      <c r="C24" s="18">
        <v>100.0</v>
      </c>
      <c r="D24" s="23"/>
      <c r="E24" s="17" t="s">
        <v>165</v>
      </c>
    </row>
    <row r="25">
      <c r="A25" s="16">
        <v>45650.0</v>
      </c>
      <c r="B25" s="17" t="s">
        <v>25</v>
      </c>
      <c r="C25" s="18">
        <v>11.0</v>
      </c>
      <c r="D25" s="23"/>
      <c r="E25" s="17" t="s">
        <v>139</v>
      </c>
    </row>
    <row r="26">
      <c r="A26" s="16">
        <v>45651.0</v>
      </c>
      <c r="B26" s="17" t="s">
        <v>26</v>
      </c>
      <c r="C26" s="18"/>
      <c r="D26" s="23"/>
      <c r="E26" s="17"/>
    </row>
    <row r="27">
      <c r="A27" s="16">
        <v>45652.0</v>
      </c>
      <c r="B27" s="17" t="s">
        <v>27</v>
      </c>
      <c r="C27" s="18">
        <v>20.0</v>
      </c>
      <c r="D27" s="23"/>
      <c r="E27" s="17" t="s">
        <v>151</v>
      </c>
    </row>
    <row r="28">
      <c r="A28" s="16">
        <v>45653.0</v>
      </c>
      <c r="B28" s="17" t="s">
        <v>17</v>
      </c>
      <c r="C28" s="18">
        <v>11.0</v>
      </c>
      <c r="D28" s="29"/>
      <c r="E28" s="17" t="s">
        <v>139</v>
      </c>
    </row>
    <row r="29">
      <c r="A29" s="16">
        <v>45654.0</v>
      </c>
      <c r="B29" s="17" t="s">
        <v>19</v>
      </c>
      <c r="C29" s="18">
        <v>120.0</v>
      </c>
      <c r="D29" s="29"/>
      <c r="E29" s="17" t="s">
        <v>166</v>
      </c>
    </row>
    <row r="30">
      <c r="A30" s="16">
        <v>45655.0</v>
      </c>
      <c r="B30" s="17" t="s">
        <v>21</v>
      </c>
      <c r="C30" s="18">
        <v>180.0</v>
      </c>
      <c r="D30" s="23"/>
      <c r="E30" s="17" t="s">
        <v>167</v>
      </c>
    </row>
    <row r="31">
      <c r="A31" s="16">
        <v>45656.0</v>
      </c>
      <c r="B31" s="17" t="s">
        <v>23</v>
      </c>
      <c r="C31" s="18"/>
      <c r="D31" s="23"/>
      <c r="E31" s="17"/>
    </row>
    <row r="32">
      <c r="A32" s="16">
        <v>45657.0</v>
      </c>
      <c r="B32" s="17" t="s">
        <v>25</v>
      </c>
      <c r="C32" s="18"/>
      <c r="D32" s="23"/>
      <c r="E32" s="17"/>
    </row>
  </sheetData>
  <conditionalFormatting sqref="F2">
    <cfRule type="cellIs" dxfId="1" priority="1" operator="greaterThanOrEqual">
      <formula>1200</formula>
    </cfRule>
  </conditionalFormatting>
  <conditionalFormatting sqref="F2">
    <cfRule type="cellIs" dxfId="2" priority="2" operator="between">
      <formula>1199</formula>
      <formula>1000</formula>
    </cfRule>
  </conditionalFormatting>
  <conditionalFormatting sqref="F2">
    <cfRule type="cellIs" dxfId="0" priority="3" operator="lessThanOrEqual">
      <formula>999</formula>
    </cfRule>
  </conditionalFormatting>
  <conditionalFormatting sqref="G2">
    <cfRule type="notContainsBlanks" dxfId="0" priority="4">
      <formula>LEN(TRIM(G2))&gt;0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2.5"/>
    <col customWidth="1" min="9" max="9" width="21.13"/>
    <col customWidth="1" min="10" max="10" width="19.25"/>
  </cols>
  <sheetData>
    <row r="1">
      <c r="A1" s="30" t="s">
        <v>168</v>
      </c>
      <c r="B1" s="31" t="s">
        <v>169</v>
      </c>
      <c r="C1" s="31" t="s">
        <v>170</v>
      </c>
      <c r="D1" s="31" t="s">
        <v>171</v>
      </c>
      <c r="E1" s="32" t="s">
        <v>172</v>
      </c>
      <c r="F1" s="32" t="s">
        <v>3</v>
      </c>
      <c r="H1" s="33" t="s">
        <v>173</v>
      </c>
      <c r="I1" s="6" t="s">
        <v>174</v>
      </c>
      <c r="J1" s="7" t="s">
        <v>175</v>
      </c>
    </row>
    <row r="2">
      <c r="A2" s="34" t="s">
        <v>176</v>
      </c>
      <c r="B2" s="35">
        <f>('Janeiro 2025'!H8)</f>
        <v>1051.37</v>
      </c>
      <c r="C2" s="35">
        <f>('Janeiro 2025'!I8)</f>
        <v>325.9</v>
      </c>
      <c r="D2" s="35">
        <f>('Janeiro 2025'!J8)</f>
        <v>113.1</v>
      </c>
      <c r="E2" s="35">
        <f>'Janeiro 2025'!K8</f>
        <v>1490.37</v>
      </c>
      <c r="F2" s="35">
        <f>E3-E2</f>
        <v>597.63</v>
      </c>
      <c r="H2" s="36">
        <f>SUMIF(A2:A46,"Despesa",E2:E46)</f>
        <v>24611.38</v>
      </c>
      <c r="I2" s="36">
        <f>SUMIF(A2:A46,"Receita",E2:E46)</f>
        <v>34480.99</v>
      </c>
      <c r="J2" s="37">
        <f>SUM(F2:F46)</f>
        <v>10769.61</v>
      </c>
    </row>
    <row r="3">
      <c r="A3" s="38" t="s">
        <v>2</v>
      </c>
      <c r="B3" s="35">
        <f>('Janeiro 2025'!H9)</f>
        <v>1823</v>
      </c>
      <c r="C3" s="35">
        <f>('Janeiro 2025'!I9)</f>
        <v>190</v>
      </c>
      <c r="D3" s="35">
        <f>('Janeiro 2025'!J9)</f>
        <v>75</v>
      </c>
      <c r="E3" s="35">
        <f>'Janeiro 2025'!K9</f>
        <v>2088</v>
      </c>
    </row>
    <row r="4">
      <c r="H4" s="39"/>
    </row>
    <row r="5">
      <c r="A5" s="30" t="s">
        <v>177</v>
      </c>
      <c r="B5" s="31" t="s">
        <v>169</v>
      </c>
      <c r="C5" s="31" t="s">
        <v>170</v>
      </c>
      <c r="D5" s="31" t="s">
        <v>171</v>
      </c>
      <c r="E5" s="32" t="s">
        <v>172</v>
      </c>
      <c r="F5" s="32" t="s">
        <v>3</v>
      </c>
    </row>
    <row r="6">
      <c r="A6" s="34" t="s">
        <v>176</v>
      </c>
      <c r="B6" s="40">
        <f>('Fevereiro 2025'!H8)</f>
        <v>932</v>
      </c>
      <c r="C6" s="40">
        <f>('Fevereiro 2025'!I8)</f>
        <v>300.1</v>
      </c>
      <c r="D6" s="40">
        <f>('Fevereiro 2025'!J8)</f>
        <v>581.79</v>
      </c>
      <c r="E6" s="35">
        <f>'Fevereiro 2025'!K8</f>
        <v>1813.89</v>
      </c>
      <c r="F6" s="35">
        <f>E7-E6</f>
        <v>4408.11</v>
      </c>
    </row>
    <row r="7">
      <c r="A7" s="38" t="s">
        <v>2</v>
      </c>
      <c r="B7" s="40">
        <f>('Fevereiro 2025'!H9)</f>
        <v>4000</v>
      </c>
      <c r="C7" s="40">
        <f>('Fevereiro 2025'!I9)</f>
        <v>330</v>
      </c>
      <c r="D7" s="40">
        <f>('Fevereiro 2025'!J9)</f>
        <v>1892</v>
      </c>
      <c r="E7" s="35">
        <f>'Fevereiro 2025'!K9</f>
        <v>6222</v>
      </c>
    </row>
    <row r="8">
      <c r="B8" s="41"/>
    </row>
    <row r="9">
      <c r="A9" s="30" t="s">
        <v>7</v>
      </c>
      <c r="B9" s="31" t="s">
        <v>169</v>
      </c>
      <c r="C9" s="31" t="s">
        <v>170</v>
      </c>
      <c r="D9" s="31" t="s">
        <v>171</v>
      </c>
      <c r="E9" s="32" t="s">
        <v>172</v>
      </c>
      <c r="F9" s="32" t="s">
        <v>3</v>
      </c>
    </row>
    <row r="10">
      <c r="A10" s="34" t="s">
        <v>176</v>
      </c>
      <c r="B10" s="40">
        <f>('Março 2025'!H8)</f>
        <v>952.73</v>
      </c>
      <c r="C10" s="40">
        <f>('Março 2025'!I8)</f>
        <v>186</v>
      </c>
      <c r="D10" s="40">
        <f>('Março 2025'!J8)</f>
        <v>676.31</v>
      </c>
      <c r="E10" s="35">
        <f>'Março 2025'!K8</f>
        <v>1815.04</v>
      </c>
      <c r="F10" s="35">
        <f>E11-E10</f>
        <v>817.96</v>
      </c>
    </row>
    <row r="11">
      <c r="A11" s="38" t="s">
        <v>2</v>
      </c>
      <c r="B11" s="40">
        <f>('Março 2025'!H9)</f>
        <v>22</v>
      </c>
      <c r="C11" s="40">
        <f>('Março 2025'!I9)</f>
        <v>230</v>
      </c>
      <c r="D11" s="40">
        <f>('Março 2025'!J9)</f>
        <v>2381</v>
      </c>
      <c r="E11" s="35">
        <f>'Março 2025'!K9</f>
        <v>2633</v>
      </c>
    </row>
    <row r="13">
      <c r="A13" s="30" t="s">
        <v>8</v>
      </c>
      <c r="B13" s="31" t="s">
        <v>169</v>
      </c>
      <c r="C13" s="31" t="s">
        <v>170</v>
      </c>
      <c r="D13" s="31" t="s">
        <v>171</v>
      </c>
      <c r="E13" s="32" t="s">
        <v>172</v>
      </c>
      <c r="F13" s="32" t="s">
        <v>3</v>
      </c>
    </row>
    <row r="14">
      <c r="A14" s="34" t="s">
        <v>176</v>
      </c>
      <c r="B14" s="40">
        <f>('Abril 2025'!H8)</f>
        <v>832.98</v>
      </c>
      <c r="C14" s="40">
        <f>('Abril 2025'!I8)</f>
        <v>88</v>
      </c>
      <c r="D14" s="40">
        <f>('Abril 2025'!J8)</f>
        <v>444.35</v>
      </c>
      <c r="E14" s="35">
        <f>'Abril 2025'!K8</f>
        <v>1365.33</v>
      </c>
      <c r="F14" s="35">
        <f>E15-E14</f>
        <v>1148.67</v>
      </c>
    </row>
    <row r="15">
      <c r="A15" s="38" t="s">
        <v>2</v>
      </c>
      <c r="B15" s="40">
        <f>('Abril 2025'!H9)</f>
        <v>150</v>
      </c>
      <c r="C15" s="40">
        <f>('Abril 2025'!I9)</f>
        <v>230</v>
      </c>
      <c r="D15" s="40">
        <f>('Abril 2025'!J9)</f>
        <v>2134</v>
      </c>
      <c r="E15" s="35">
        <f>'Abril 2025'!K9</f>
        <v>2514</v>
      </c>
    </row>
    <row r="17">
      <c r="A17" s="30" t="s">
        <v>9</v>
      </c>
      <c r="B17" s="31" t="s">
        <v>169</v>
      </c>
      <c r="C17" s="31" t="s">
        <v>170</v>
      </c>
      <c r="D17" s="31" t="s">
        <v>171</v>
      </c>
      <c r="E17" s="32" t="s">
        <v>172</v>
      </c>
      <c r="F17" s="32" t="s">
        <v>3</v>
      </c>
    </row>
    <row r="18">
      <c r="A18" s="34" t="s">
        <v>176</v>
      </c>
      <c r="B18" s="40">
        <f>('Maio 2025'!H8)</f>
        <v>1242.97</v>
      </c>
      <c r="C18" s="40">
        <f>('Maio 2025'!I8)</f>
        <v>274.65</v>
      </c>
      <c r="D18" s="40">
        <f>('Maio 2025'!J8)</f>
        <v>137.5</v>
      </c>
      <c r="E18" s="35">
        <f>'Maio 2025'!K8</f>
        <v>1655.12</v>
      </c>
      <c r="F18" s="35">
        <f>E19-E18</f>
        <v>673.88</v>
      </c>
    </row>
    <row r="19">
      <c r="A19" s="38" t="s">
        <v>2</v>
      </c>
      <c r="B19" s="40">
        <f>('Maio 2025'!H9)</f>
        <v>0</v>
      </c>
      <c r="C19" s="40">
        <f>('Maio 2025'!I9)</f>
        <v>230</v>
      </c>
      <c r="D19" s="40">
        <f>('Maio 2025'!J9)</f>
        <v>2099</v>
      </c>
      <c r="E19" s="35">
        <f>'Maio 2025'!K9</f>
        <v>2329</v>
      </c>
    </row>
    <row r="21">
      <c r="A21" s="30" t="s">
        <v>10</v>
      </c>
      <c r="B21" s="31" t="s">
        <v>169</v>
      </c>
      <c r="C21" s="31" t="s">
        <v>170</v>
      </c>
      <c r="D21" s="31" t="s">
        <v>171</v>
      </c>
      <c r="E21" s="32" t="s">
        <v>172</v>
      </c>
      <c r="F21" s="32" t="s">
        <v>3</v>
      </c>
    </row>
    <row r="22">
      <c r="A22" s="34" t="s">
        <v>176</v>
      </c>
      <c r="B22" s="40">
        <f>('Junho 2025'!H8)</f>
        <v>4261.98</v>
      </c>
      <c r="C22" s="40">
        <f>('Junho 2025'!I8)</f>
        <v>151</v>
      </c>
      <c r="D22" s="40">
        <f>('Junho 2025'!J8)</f>
        <v>227.93</v>
      </c>
      <c r="E22" s="35">
        <f>'Junho 2025'!K8</f>
        <v>4640.91</v>
      </c>
      <c r="F22" s="35">
        <f>E23-E22</f>
        <v>-2273.91</v>
      </c>
    </row>
    <row r="23">
      <c r="A23" s="38" t="s">
        <v>2</v>
      </c>
      <c r="B23" s="40">
        <f>('Junho 2025'!H9)</f>
        <v>0</v>
      </c>
      <c r="C23" s="40">
        <f>('Junho 2025'!I9)</f>
        <v>330</v>
      </c>
      <c r="D23" s="40">
        <f>('Junho 2025'!J9)</f>
        <v>2037</v>
      </c>
      <c r="E23" s="35">
        <f>'Junho 2025'!K9</f>
        <v>2367</v>
      </c>
    </row>
    <row r="25">
      <c r="A25" s="30" t="s">
        <v>11</v>
      </c>
      <c r="B25" s="31" t="s">
        <v>169</v>
      </c>
      <c r="C25" s="31" t="s">
        <v>170</v>
      </c>
      <c r="D25" s="31" t="s">
        <v>171</v>
      </c>
      <c r="E25" s="32" t="s">
        <v>172</v>
      </c>
      <c r="F25" s="32" t="s">
        <v>3</v>
      </c>
    </row>
    <row r="26">
      <c r="A26" s="34" t="s">
        <v>176</v>
      </c>
      <c r="B26" s="40">
        <f>('Julho 2025'!H8)</f>
        <v>980.15</v>
      </c>
      <c r="C26" s="40">
        <f>('Julho 2025'!I8)</f>
        <v>0</v>
      </c>
      <c r="D26" s="40">
        <f>('Julho 2025'!J8)</f>
        <v>149.7</v>
      </c>
      <c r="E26" s="35">
        <f>'Julho 2025'!K8</f>
        <v>1129.85</v>
      </c>
      <c r="F26" s="35">
        <f>E27-E26</f>
        <v>8332.94</v>
      </c>
    </row>
    <row r="27">
      <c r="A27" s="38" t="s">
        <v>2</v>
      </c>
      <c r="B27" s="40">
        <f>('Julho 2025'!H9)</f>
        <v>0</v>
      </c>
      <c r="C27" s="40">
        <f>('Julho 2025'!I9)</f>
        <v>100</v>
      </c>
      <c r="D27" s="40">
        <f>('Julho 2025'!J9)</f>
        <v>9362.79</v>
      </c>
      <c r="E27" s="35">
        <f>'Julho 2025'!K9</f>
        <v>9462.79</v>
      </c>
    </row>
    <row r="29">
      <c r="A29" s="30" t="s">
        <v>12</v>
      </c>
      <c r="B29" s="31" t="s">
        <v>169</v>
      </c>
      <c r="C29" s="31" t="s">
        <v>170</v>
      </c>
      <c r="D29" s="31" t="s">
        <v>171</v>
      </c>
      <c r="E29" s="32" t="s">
        <v>172</v>
      </c>
      <c r="F29" s="32" t="s">
        <v>3</v>
      </c>
    </row>
    <row r="30">
      <c r="A30" s="34" t="s">
        <v>176</v>
      </c>
      <c r="B30" s="40">
        <f>('Agosto 2025'!H8)</f>
        <v>2337.82</v>
      </c>
      <c r="C30" s="40">
        <f>('Agosto 2025'!I8)</f>
        <v>68</v>
      </c>
      <c r="D30" s="40">
        <f>('Agosto 2025'!J8)</f>
        <v>0</v>
      </c>
      <c r="E30" s="35">
        <f>'Agosto 2025'!K8</f>
        <v>2405.82</v>
      </c>
      <c r="F30" s="35">
        <f>E31-E30</f>
        <v>-525.82</v>
      </c>
    </row>
    <row r="31">
      <c r="A31" s="38" t="s">
        <v>2</v>
      </c>
      <c r="B31" s="40">
        <f>('Agosto 2025'!H9)</f>
        <v>0</v>
      </c>
      <c r="C31" s="40">
        <f>('Agosto 2025'!I9)</f>
        <v>1880</v>
      </c>
      <c r="D31" s="40">
        <f>('Agosto 2025'!J9)</f>
        <v>0</v>
      </c>
      <c r="E31" s="35">
        <f>'Agosto 2025'!K9</f>
        <v>1880</v>
      </c>
    </row>
    <row r="33">
      <c r="A33" s="30" t="s">
        <v>13</v>
      </c>
      <c r="B33" s="31" t="s">
        <v>169</v>
      </c>
      <c r="C33" s="31" t="s">
        <v>170</v>
      </c>
      <c r="D33" s="31" t="s">
        <v>171</v>
      </c>
      <c r="E33" s="32" t="s">
        <v>172</v>
      </c>
      <c r="F33" s="32" t="s">
        <v>3</v>
      </c>
    </row>
    <row r="34">
      <c r="A34" s="34" t="s">
        <v>176</v>
      </c>
      <c r="B34" s="40">
        <f>('Setembro 2025'!H8)</f>
        <v>1472.18</v>
      </c>
      <c r="C34" s="40">
        <f>('Setembro 2025'!I8)</f>
        <v>0</v>
      </c>
      <c r="D34" s="40">
        <f>('Setembro 2025'!J8)</f>
        <v>240.54</v>
      </c>
      <c r="E34" s="35">
        <f>'Setembro 2025'!K8</f>
        <v>1712.72</v>
      </c>
      <c r="F34" s="35">
        <f>E35-E34</f>
        <v>282.88</v>
      </c>
    </row>
    <row r="35">
      <c r="A35" s="38" t="s">
        <v>2</v>
      </c>
      <c r="B35" s="40">
        <f>('Setembro 2025'!H9)</f>
        <v>50</v>
      </c>
      <c r="C35" s="40">
        <f>('Setembro 2025'!I9)</f>
        <v>111.6</v>
      </c>
      <c r="D35" s="40">
        <f>('Setembro 2025'!J9)</f>
        <v>1834</v>
      </c>
      <c r="E35" s="35">
        <f>'Setembro 2025'!K9</f>
        <v>1995.6</v>
      </c>
    </row>
    <row r="37">
      <c r="A37" s="30" t="s">
        <v>14</v>
      </c>
      <c r="B37" s="31" t="s">
        <v>169</v>
      </c>
      <c r="C37" s="31" t="s">
        <v>170</v>
      </c>
      <c r="D37" s="31" t="s">
        <v>171</v>
      </c>
      <c r="E37" s="32" t="s">
        <v>172</v>
      </c>
      <c r="F37" s="32" t="s">
        <v>3</v>
      </c>
    </row>
    <row r="38">
      <c r="A38" s="34" t="s">
        <v>176</v>
      </c>
      <c r="B38" s="40">
        <f>('Outubro 2025'!H8)</f>
        <v>2271.3</v>
      </c>
      <c r="C38" s="40">
        <f>('Outubro 2025'!I8)</f>
        <v>12</v>
      </c>
      <c r="D38" s="40">
        <f>('Outubro 2025'!J8)</f>
        <v>418.56</v>
      </c>
      <c r="E38" s="35">
        <f>('Outubro 2025'!K8)</f>
        <v>2701.86</v>
      </c>
      <c r="F38" s="35">
        <f>E39-E38</f>
        <v>-723.86</v>
      </c>
    </row>
    <row r="39">
      <c r="A39" s="38" t="s">
        <v>2</v>
      </c>
      <c r="B39" s="40">
        <f>('Outubro 2025'!H9)</f>
        <v>144</v>
      </c>
      <c r="C39" s="40">
        <f>('Outubro 2025'!I9)</f>
        <v>0</v>
      </c>
      <c r="D39" s="40">
        <f>('Outubro 2025'!J9)</f>
        <v>1834</v>
      </c>
      <c r="E39" s="35">
        <f>('Outubro 2025'!K9)</f>
        <v>1978</v>
      </c>
    </row>
    <row r="41">
      <c r="A41" s="30" t="s">
        <v>15</v>
      </c>
      <c r="B41" s="31" t="s">
        <v>169</v>
      </c>
      <c r="C41" s="31" t="s">
        <v>170</v>
      </c>
      <c r="D41" s="31" t="s">
        <v>171</v>
      </c>
      <c r="E41" s="32" t="s">
        <v>172</v>
      </c>
      <c r="F41" s="32" t="s">
        <v>3</v>
      </c>
    </row>
    <row r="42">
      <c r="A42" s="34" t="s">
        <v>176</v>
      </c>
      <c r="B42" s="40">
        <f>('Novembro 2025'!H8)</f>
        <v>1366.41</v>
      </c>
      <c r="C42" s="40">
        <f>('Novembro 2025'!I8)</f>
        <v>0</v>
      </c>
      <c r="D42" s="40">
        <f>('Novembro 2025'!J8)</f>
        <v>689.13</v>
      </c>
      <c r="E42" s="35">
        <f>('Novembro 2025'!K8)</f>
        <v>2055.54</v>
      </c>
      <c r="F42" s="35">
        <f>E43-E42</f>
        <v>-1043.94</v>
      </c>
    </row>
    <row r="43">
      <c r="A43" s="38" t="s">
        <v>2</v>
      </c>
      <c r="B43" s="40">
        <f>('Novembro 2025'!H9)</f>
        <v>900</v>
      </c>
      <c r="C43" s="40">
        <f>('Novembro 2025'!I9)</f>
        <v>111.6</v>
      </c>
      <c r="D43" s="40">
        <f>('Novembro 2025'!J9)</f>
        <v>0</v>
      </c>
      <c r="E43" s="35">
        <f>('Novembro 2025'!K9)</f>
        <v>1011.6</v>
      </c>
    </row>
    <row r="45">
      <c r="A45" s="30" t="s">
        <v>16</v>
      </c>
      <c r="B45" s="31" t="s">
        <v>169</v>
      </c>
      <c r="C45" s="31" t="s">
        <v>170</v>
      </c>
      <c r="D45" s="31" t="s">
        <v>171</v>
      </c>
      <c r="E45" s="32" t="s">
        <v>172</v>
      </c>
      <c r="F45" s="32" t="s">
        <v>3</v>
      </c>
    </row>
    <row r="46">
      <c r="A46" s="34" t="s">
        <v>176</v>
      </c>
      <c r="B46" s="40">
        <f>('Dezembro 2025'!H8)</f>
        <v>1764.07</v>
      </c>
      <c r="C46" s="40">
        <f>('Dezembro 2025'!I8)</f>
        <v>0</v>
      </c>
      <c r="D46" s="40">
        <f>('Dezembro 2025'!J8)</f>
        <v>60.86</v>
      </c>
      <c r="E46" s="35">
        <f>('Dezembro 2025'!K8)</f>
        <v>1824.93</v>
      </c>
      <c r="F46" s="35">
        <f>E47-E46</f>
        <v>-924.93</v>
      </c>
    </row>
    <row r="47">
      <c r="A47" s="38" t="s">
        <v>2</v>
      </c>
      <c r="B47" s="40">
        <f>('Dezembro 2025'!H9)</f>
        <v>900</v>
      </c>
      <c r="C47" s="40">
        <f>('Dezembro 2025'!I9)</f>
        <v>0</v>
      </c>
      <c r="D47" s="40">
        <f>('Dezembro 2025'!J9)</f>
        <v>0</v>
      </c>
      <c r="E47" s="35">
        <f>('Dezembro 2025'!K9)</f>
        <v>900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168</v>
      </c>
      <c r="B7" s="46"/>
      <c r="C7" s="46"/>
      <c r="D7" s="46"/>
      <c r="E7" s="46"/>
      <c r="F7" s="46"/>
      <c r="G7" s="46"/>
      <c r="J7" s="47" t="s">
        <v>168</v>
      </c>
      <c r="K7" s="48"/>
      <c r="L7" s="48"/>
      <c r="M7" s="48"/>
      <c r="N7" s="48"/>
      <c r="O7" s="48"/>
      <c r="P7" s="48"/>
      <c r="Q7" s="44"/>
    </row>
    <row r="8">
      <c r="A8" s="49">
        <v>46023.0</v>
      </c>
      <c r="B8" s="50" t="s">
        <v>180</v>
      </c>
      <c r="C8" s="50" t="s">
        <v>180</v>
      </c>
      <c r="D8" s="50" t="s">
        <v>180</v>
      </c>
      <c r="E8" s="50" t="s">
        <v>180</v>
      </c>
      <c r="F8" s="50" t="s">
        <v>180</v>
      </c>
      <c r="G8" s="50" t="s">
        <v>180</v>
      </c>
      <c r="H8" s="51" t="s">
        <v>181</v>
      </c>
      <c r="J8" s="52">
        <v>46030.0</v>
      </c>
      <c r="K8" s="53" t="s">
        <v>180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467.82</v>
      </c>
      <c r="T8" s="55">
        <f>SUM(E8:G14)</f>
        <v>0</v>
      </c>
    </row>
    <row r="9">
      <c r="A9" s="49">
        <v>46024.0</v>
      </c>
      <c r="B9" s="50" t="s">
        <v>180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-467.82</v>
      </c>
      <c r="J9" s="52">
        <v>46031.0</v>
      </c>
      <c r="K9" s="53" t="s">
        <v>180</v>
      </c>
      <c r="L9" s="53" t="s">
        <v>180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-441.98</v>
      </c>
      <c r="S9" s="55">
        <f>SUM(K8:M14)</f>
        <v>441.98</v>
      </c>
      <c r="T9" s="55">
        <f>sum(N8:P14)</f>
        <v>0</v>
      </c>
    </row>
    <row r="10">
      <c r="A10" s="49">
        <v>46025.0</v>
      </c>
      <c r="B10" s="50">
        <v>22.1</v>
      </c>
      <c r="C10" s="50">
        <v>34.9</v>
      </c>
      <c r="D10" s="50">
        <v>26.1</v>
      </c>
      <c r="E10" s="50" t="s">
        <v>180</v>
      </c>
      <c r="F10" s="50" t="s">
        <v>180</v>
      </c>
      <c r="G10" s="50" t="s">
        <v>180</v>
      </c>
      <c r="J10" s="52">
        <v>46032.0</v>
      </c>
      <c r="K10" s="53" t="s">
        <v>180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1147.06</v>
      </c>
      <c r="T10" s="55">
        <f>sum(E18:G24)</f>
        <v>100</v>
      </c>
    </row>
    <row r="11">
      <c r="A11" s="49">
        <v>46026.0</v>
      </c>
      <c r="B11" s="50" t="s">
        <v>180</v>
      </c>
      <c r="C11" s="50" t="s">
        <v>180</v>
      </c>
      <c r="D11" s="50" t="s">
        <v>180</v>
      </c>
      <c r="E11" s="50" t="s">
        <v>180</v>
      </c>
      <c r="F11" s="50" t="s">
        <v>180</v>
      </c>
      <c r="G11" s="50" t="s">
        <v>180</v>
      </c>
      <c r="J11" s="52">
        <v>46033.0</v>
      </c>
      <c r="K11" s="53" t="s">
        <v>180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0</v>
      </c>
      <c r="T11" s="55">
        <f>sum(N18:P24)</f>
        <v>0</v>
      </c>
    </row>
    <row r="12">
      <c r="A12" s="49">
        <v>46027.0</v>
      </c>
      <c r="B12" s="50" t="s">
        <v>180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46034.0</v>
      </c>
      <c r="K12" s="53">
        <v>340.0</v>
      </c>
      <c r="L12" s="53" t="s">
        <v>180</v>
      </c>
      <c r="M12" s="53" t="s">
        <v>180</v>
      </c>
      <c r="N12" s="53" t="s">
        <v>180</v>
      </c>
      <c r="O12" s="53" t="s">
        <v>180</v>
      </c>
      <c r="P12" s="53" t="s">
        <v>180</v>
      </c>
      <c r="Q12" s="45"/>
      <c r="S12" s="55">
        <f>sum(B29:D31)</f>
        <v>32.35</v>
      </c>
      <c r="T12" s="55">
        <f>sum(E29:G31)</f>
        <v>223.2</v>
      </c>
    </row>
    <row r="13">
      <c r="A13" s="49">
        <v>46028.0</v>
      </c>
      <c r="B13" s="50">
        <v>384.72</v>
      </c>
      <c r="C13" s="50" t="s">
        <v>180</v>
      </c>
      <c r="D13" s="50" t="s">
        <v>180</v>
      </c>
      <c r="E13" s="50" t="s">
        <v>180</v>
      </c>
      <c r="F13" s="50" t="s">
        <v>180</v>
      </c>
      <c r="G13" s="50" t="s">
        <v>180</v>
      </c>
      <c r="J13" s="52">
        <v>46035.0</v>
      </c>
      <c r="K13" s="53">
        <v>10.0</v>
      </c>
      <c r="L13" s="53" t="s">
        <v>180</v>
      </c>
      <c r="M13" s="53" t="s">
        <v>180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46029.0</v>
      </c>
      <c r="B14" s="50" t="s">
        <v>180</v>
      </c>
      <c r="C14" s="50" t="s">
        <v>180</v>
      </c>
      <c r="D14" s="50" t="s">
        <v>180</v>
      </c>
      <c r="E14" s="50" t="s">
        <v>180</v>
      </c>
      <c r="F14" s="50" t="s">
        <v>180</v>
      </c>
      <c r="G14" s="50" t="s">
        <v>180</v>
      </c>
      <c r="J14" s="52">
        <v>46036.0</v>
      </c>
      <c r="K14" s="53">
        <v>57.98</v>
      </c>
      <c r="L14" s="53">
        <v>34.0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6">
      <c r="A16" s="43" t="s">
        <v>182</v>
      </c>
      <c r="B16" s="44"/>
      <c r="C16" s="44"/>
      <c r="D16" s="44"/>
      <c r="E16" s="44"/>
      <c r="F16" s="44"/>
      <c r="G16" s="44"/>
      <c r="H16" s="45"/>
      <c r="J16" s="43" t="s">
        <v>183</v>
      </c>
      <c r="K16" s="44"/>
      <c r="L16" s="44"/>
      <c r="M16" s="44"/>
      <c r="N16" s="44"/>
      <c r="O16" s="44"/>
      <c r="P16" s="44"/>
      <c r="Q16" s="45"/>
    </row>
    <row r="17">
      <c r="A17" s="47" t="s">
        <v>168</v>
      </c>
      <c r="B17" s="48"/>
      <c r="C17" s="48"/>
      <c r="D17" s="48"/>
      <c r="E17" s="48"/>
      <c r="F17" s="48"/>
      <c r="G17" s="48"/>
      <c r="H17" s="44"/>
      <c r="J17" s="58" t="s">
        <v>168</v>
      </c>
      <c r="K17" s="48"/>
      <c r="L17" s="48"/>
      <c r="M17" s="48"/>
      <c r="N17" s="48"/>
      <c r="O17" s="48"/>
      <c r="P17" s="48"/>
      <c r="Q17" s="44"/>
    </row>
    <row r="18">
      <c r="A18" s="52">
        <v>46037.0</v>
      </c>
      <c r="B18" s="53" t="s">
        <v>180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46044.0</v>
      </c>
      <c r="K18" s="59" t="s">
        <v>180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46038.0</v>
      </c>
      <c r="B19" s="53">
        <v>40.0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-1047.06</v>
      </c>
      <c r="J19" s="52">
        <v>46045.0</v>
      </c>
      <c r="K19" s="59" t="s">
        <v>180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0</v>
      </c>
    </row>
    <row r="20">
      <c r="A20" s="52">
        <v>46039.0</v>
      </c>
      <c r="B20" s="53" t="s">
        <v>180</v>
      </c>
      <c r="C20" s="53" t="s">
        <v>180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46046.0</v>
      </c>
      <c r="K20" s="59" t="s">
        <v>180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46040.0</v>
      </c>
      <c r="B21" s="53" t="s">
        <v>180</v>
      </c>
      <c r="C21" s="53" t="s">
        <v>180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46047.0</v>
      </c>
      <c r="K21" s="59" t="s">
        <v>180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46041.0</v>
      </c>
      <c r="B22" s="53">
        <v>10.4</v>
      </c>
      <c r="C22" s="53">
        <v>375.0</v>
      </c>
      <c r="D22" s="53">
        <v>100.0</v>
      </c>
      <c r="E22" s="53" t="s">
        <v>180</v>
      </c>
      <c r="F22" s="53" t="s">
        <v>180</v>
      </c>
      <c r="G22" s="53" t="s">
        <v>180</v>
      </c>
      <c r="H22" s="45"/>
      <c r="J22" s="52">
        <v>46048.0</v>
      </c>
      <c r="K22" s="59" t="s">
        <v>180</v>
      </c>
      <c r="L22" s="59" t="s">
        <v>180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46042.0</v>
      </c>
      <c r="B23" s="53">
        <v>500.0</v>
      </c>
      <c r="C23" s="53" t="s">
        <v>180</v>
      </c>
      <c r="D23" s="53" t="s">
        <v>180</v>
      </c>
      <c r="E23" s="53" t="s">
        <v>180</v>
      </c>
      <c r="F23" s="53" t="s">
        <v>180</v>
      </c>
      <c r="G23" s="53" t="s">
        <v>180</v>
      </c>
      <c r="H23" s="45"/>
      <c r="J23" s="52">
        <v>46049.0</v>
      </c>
      <c r="K23" s="59" t="s">
        <v>180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46043.0</v>
      </c>
      <c r="B24" s="53">
        <v>70.0</v>
      </c>
      <c r="C24" s="53">
        <v>36.9</v>
      </c>
      <c r="D24" s="53">
        <v>14.76</v>
      </c>
      <c r="E24" s="53">
        <v>100.0</v>
      </c>
      <c r="F24" s="53" t="s">
        <v>180</v>
      </c>
      <c r="G24" s="53" t="s">
        <v>180</v>
      </c>
      <c r="H24" s="45"/>
      <c r="J24" s="52">
        <v>46050.0</v>
      </c>
      <c r="K24" s="59" t="s">
        <v>180</v>
      </c>
      <c r="L24" s="59" t="s">
        <v>180</v>
      </c>
      <c r="M24" s="59" t="s">
        <v>180</v>
      </c>
      <c r="N24" s="59" t="s">
        <v>180</v>
      </c>
      <c r="O24" s="59" t="s">
        <v>180</v>
      </c>
      <c r="P24" s="59" t="s">
        <v>180</v>
      </c>
      <c r="Q24" s="45"/>
    </row>
    <row r="27">
      <c r="A27" s="43" t="s">
        <v>184</v>
      </c>
      <c r="B27" s="44"/>
      <c r="C27" s="44"/>
      <c r="D27" s="44"/>
      <c r="E27" s="44"/>
      <c r="F27" s="44"/>
      <c r="G27" s="44"/>
      <c r="H27" s="45"/>
      <c r="J27" s="62" t="s">
        <v>185</v>
      </c>
    </row>
    <row r="28">
      <c r="A28" s="47" t="s">
        <v>168</v>
      </c>
      <c r="B28" s="48"/>
      <c r="C28" s="48"/>
      <c r="D28" s="48"/>
      <c r="E28" s="48"/>
      <c r="F28" s="48"/>
      <c r="G28" s="48"/>
      <c r="H28" s="44"/>
      <c r="J28" s="63">
        <f>sum(H9,H19,H30,Q19,Q9)</f>
        <v>-1766.01</v>
      </c>
    </row>
    <row r="29">
      <c r="A29" s="52">
        <v>46051.0</v>
      </c>
      <c r="B29" s="53" t="s">
        <v>180</v>
      </c>
      <c r="C29" s="53" t="s">
        <v>180</v>
      </c>
      <c r="D29" s="53" t="s">
        <v>180</v>
      </c>
      <c r="E29" s="53" t="s">
        <v>180</v>
      </c>
      <c r="F29" s="53" t="s">
        <v>180</v>
      </c>
      <c r="G29" s="53" t="s">
        <v>180</v>
      </c>
      <c r="H29" s="54" t="s">
        <v>181</v>
      </c>
    </row>
    <row r="30">
      <c r="A30" s="52">
        <v>46052.0</v>
      </c>
      <c r="B30" s="53">
        <v>9.69</v>
      </c>
      <c r="C30" s="53" t="s">
        <v>180</v>
      </c>
      <c r="D30" s="53" t="s">
        <v>180</v>
      </c>
      <c r="E30" s="53">
        <v>111.6</v>
      </c>
      <c r="F30" s="53" t="s">
        <v>180</v>
      </c>
      <c r="G30" s="53" t="s">
        <v>180</v>
      </c>
      <c r="H30" s="57">
        <f>T12-S12</f>
        <v>190.85</v>
      </c>
    </row>
    <row r="31">
      <c r="A31" s="52">
        <v>46053.0</v>
      </c>
      <c r="B31" s="53">
        <v>22.66</v>
      </c>
      <c r="C31" s="53" t="s">
        <v>180</v>
      </c>
      <c r="D31" s="53" t="s">
        <v>180</v>
      </c>
      <c r="E31" s="53">
        <v>111.6</v>
      </c>
      <c r="F31" s="53" t="s">
        <v>180</v>
      </c>
      <c r="G31" s="53" t="s">
        <v>180</v>
      </c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  <row r="35">
      <c r="A35" s="45"/>
      <c r="B35" s="45"/>
      <c r="C35" s="45"/>
      <c r="D35" s="45"/>
      <c r="E35" s="45"/>
      <c r="F35" s="45"/>
      <c r="G35" s="45"/>
      <c r="H35" s="45"/>
    </row>
  </sheetData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177</v>
      </c>
      <c r="B7" s="46"/>
      <c r="C7" s="46"/>
      <c r="D7" s="46"/>
      <c r="E7" s="46"/>
      <c r="F7" s="46"/>
      <c r="G7" s="46"/>
      <c r="J7" s="42" t="s">
        <v>177</v>
      </c>
      <c r="K7" s="48"/>
      <c r="L7" s="48"/>
      <c r="M7" s="48"/>
      <c r="N7" s="48"/>
      <c r="O7" s="48"/>
      <c r="P7" s="48"/>
      <c r="Q7" s="44"/>
    </row>
    <row r="8">
      <c r="A8" s="49">
        <v>46054.0</v>
      </c>
      <c r="B8" s="50" t="s">
        <v>180</v>
      </c>
      <c r="C8" s="50" t="s">
        <v>180</v>
      </c>
      <c r="D8" s="50" t="s">
        <v>180</v>
      </c>
      <c r="E8" s="50" t="s">
        <v>180</v>
      </c>
      <c r="F8" s="50" t="s">
        <v>180</v>
      </c>
      <c r="G8" s="50" t="s">
        <v>180</v>
      </c>
      <c r="H8" s="51" t="s">
        <v>181</v>
      </c>
      <c r="J8" s="52">
        <v>46061.0</v>
      </c>
      <c r="K8" s="53" t="s">
        <v>180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390</v>
      </c>
      <c r="T8" s="55">
        <f>SUM(E8:G14)</f>
        <v>0</v>
      </c>
    </row>
    <row r="9">
      <c r="A9" s="49">
        <v>46055.0</v>
      </c>
      <c r="B9" s="50">
        <v>390.0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-390</v>
      </c>
      <c r="J9" s="52">
        <v>46062.0</v>
      </c>
      <c r="K9" s="53">
        <v>384.72</v>
      </c>
      <c r="L9" s="53">
        <v>27.98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-543.19</v>
      </c>
      <c r="S9" s="55">
        <f>SUM(K8:M14)</f>
        <v>543.19</v>
      </c>
      <c r="T9" s="55">
        <f>sum(N8:P14)</f>
        <v>0</v>
      </c>
    </row>
    <row r="10">
      <c r="A10" s="49">
        <v>46056.0</v>
      </c>
      <c r="B10" s="50" t="s">
        <v>180</v>
      </c>
      <c r="C10" s="50" t="s">
        <v>180</v>
      </c>
      <c r="D10" s="50" t="s">
        <v>180</v>
      </c>
      <c r="E10" s="50" t="s">
        <v>180</v>
      </c>
      <c r="F10" s="50" t="s">
        <v>180</v>
      </c>
      <c r="G10" s="50" t="s">
        <v>180</v>
      </c>
      <c r="J10" s="52">
        <v>46063.0</v>
      </c>
      <c r="K10" s="53" t="s">
        <v>180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183.01</v>
      </c>
      <c r="T10" s="55">
        <f>sum(E18:G24)</f>
        <v>0</v>
      </c>
    </row>
    <row r="11">
      <c r="A11" s="49">
        <v>46057.0</v>
      </c>
      <c r="B11" s="50" t="s">
        <v>180</v>
      </c>
      <c r="C11" s="50" t="s">
        <v>180</v>
      </c>
      <c r="D11" s="50" t="s">
        <v>180</v>
      </c>
      <c r="E11" s="50" t="s">
        <v>180</v>
      </c>
      <c r="F11" s="50" t="s">
        <v>180</v>
      </c>
      <c r="G11" s="50" t="s">
        <v>180</v>
      </c>
      <c r="J11" s="52">
        <v>46064.0</v>
      </c>
      <c r="K11" s="53" t="s">
        <v>180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125.06</v>
      </c>
      <c r="T11" s="55">
        <f>sum(N18:P24)</f>
        <v>0</v>
      </c>
    </row>
    <row r="12">
      <c r="A12" s="49">
        <v>46058.0</v>
      </c>
      <c r="B12" s="50" t="s">
        <v>180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46065.0</v>
      </c>
      <c r="K12" s="53"/>
      <c r="L12" s="53" t="s">
        <v>180</v>
      </c>
      <c r="M12" s="53" t="s">
        <v>180</v>
      </c>
      <c r="N12" s="53" t="s">
        <v>180</v>
      </c>
      <c r="O12" s="53" t="s">
        <v>180</v>
      </c>
      <c r="P12" s="53" t="s">
        <v>180</v>
      </c>
      <c r="Q12" s="45"/>
      <c r="S12" s="55">
        <f>sum(B29:D31)</f>
        <v>0</v>
      </c>
      <c r="T12" s="55">
        <f>sum(E29:G31)</f>
        <v>0</v>
      </c>
    </row>
    <row r="13">
      <c r="A13" s="49">
        <v>46059.0</v>
      </c>
      <c r="B13" s="50" t="s">
        <v>180</v>
      </c>
      <c r="C13" s="50" t="s">
        <v>180</v>
      </c>
      <c r="D13" s="50" t="s">
        <v>180</v>
      </c>
      <c r="E13" s="50" t="s">
        <v>180</v>
      </c>
      <c r="F13" s="50" t="s">
        <v>180</v>
      </c>
      <c r="G13" s="50" t="s">
        <v>180</v>
      </c>
      <c r="J13" s="52">
        <v>46066.0</v>
      </c>
      <c r="K13" s="53">
        <v>70.0</v>
      </c>
      <c r="L13" s="53">
        <v>12.69</v>
      </c>
      <c r="M13" s="53">
        <v>47.8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46060.0</v>
      </c>
      <c r="B14" s="50" t="s">
        <v>180</v>
      </c>
      <c r="C14" s="50" t="s">
        <v>180</v>
      </c>
      <c r="D14" s="50" t="s">
        <v>180</v>
      </c>
      <c r="E14" s="50" t="s">
        <v>180</v>
      </c>
      <c r="F14" s="50" t="s">
        <v>180</v>
      </c>
      <c r="G14" s="50" t="s">
        <v>180</v>
      </c>
      <c r="J14" s="52">
        <v>46067.0</v>
      </c>
      <c r="K14" s="53" t="s">
        <v>180</v>
      </c>
      <c r="L14" s="53" t="s">
        <v>180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5">
      <c r="B15" s="20"/>
      <c r="C15" s="20"/>
      <c r="D15" s="20"/>
      <c r="E15" s="20"/>
      <c r="F15" s="20"/>
      <c r="G15" s="20"/>
      <c r="K15" s="20"/>
      <c r="L15" s="20"/>
      <c r="M15" s="20"/>
      <c r="N15" s="20"/>
      <c r="O15" s="20"/>
      <c r="P15" s="20"/>
    </row>
    <row r="16">
      <c r="A16" s="43" t="s">
        <v>182</v>
      </c>
      <c r="B16" s="64"/>
      <c r="C16" s="64"/>
      <c r="D16" s="64"/>
      <c r="E16" s="64"/>
      <c r="F16" s="64"/>
      <c r="G16" s="64"/>
      <c r="H16" s="45"/>
      <c r="J16" s="43" t="s">
        <v>183</v>
      </c>
      <c r="K16" s="64"/>
      <c r="L16" s="64"/>
      <c r="M16" s="64"/>
      <c r="N16" s="64"/>
      <c r="O16" s="64"/>
      <c r="P16" s="64"/>
      <c r="Q16" s="45"/>
    </row>
    <row r="17">
      <c r="A17" s="42" t="s">
        <v>177</v>
      </c>
      <c r="B17" s="65"/>
      <c r="C17" s="65"/>
      <c r="D17" s="65"/>
      <c r="E17" s="65"/>
      <c r="F17" s="65"/>
      <c r="G17" s="65"/>
      <c r="H17" s="44"/>
      <c r="J17" s="42" t="s">
        <v>177</v>
      </c>
      <c r="K17" s="65"/>
      <c r="L17" s="65"/>
      <c r="M17" s="65"/>
      <c r="N17" s="65"/>
      <c r="O17" s="65"/>
      <c r="P17" s="65"/>
      <c r="Q17" s="44"/>
    </row>
    <row r="18">
      <c r="A18" s="52">
        <v>46068.0</v>
      </c>
      <c r="B18" s="53" t="s">
        <v>180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46075.0</v>
      </c>
      <c r="K18" s="59" t="s">
        <v>180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46069.0</v>
      </c>
      <c r="B19" s="53" t="s">
        <v>180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-183.01</v>
      </c>
      <c r="J19" s="52">
        <v>46076.0</v>
      </c>
      <c r="K19" s="59" t="s">
        <v>180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-125.06</v>
      </c>
    </row>
    <row r="20">
      <c r="A20" s="52">
        <v>46070.0</v>
      </c>
      <c r="B20" s="53" t="s">
        <v>180</v>
      </c>
      <c r="C20" s="53" t="s">
        <v>180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46077.0</v>
      </c>
      <c r="K20" s="59" t="s">
        <v>180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46071.0</v>
      </c>
      <c r="B21" s="53" t="s">
        <v>180</v>
      </c>
      <c r="C21" s="53" t="s">
        <v>180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46078.0</v>
      </c>
      <c r="K21" s="59" t="s">
        <v>180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46072.0</v>
      </c>
      <c r="B22" s="53">
        <v>145.01</v>
      </c>
      <c r="C22" s="53" t="s">
        <v>180</v>
      </c>
      <c r="D22" s="53" t="s">
        <v>180</v>
      </c>
      <c r="E22" s="53" t="s">
        <v>180</v>
      </c>
      <c r="F22" s="53" t="s">
        <v>180</v>
      </c>
      <c r="G22" s="53" t="s">
        <v>180</v>
      </c>
      <c r="H22" s="45"/>
      <c r="J22" s="52">
        <v>46079.0</v>
      </c>
      <c r="K22" s="53">
        <v>20.0</v>
      </c>
      <c r="L22" s="53">
        <v>50.0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46073.0</v>
      </c>
      <c r="B23" s="53">
        <v>38.0</v>
      </c>
      <c r="C23" s="53" t="s">
        <v>180</v>
      </c>
      <c r="D23" s="53" t="s">
        <v>180</v>
      </c>
      <c r="E23" s="53" t="s">
        <v>180</v>
      </c>
      <c r="F23" s="53" t="s">
        <v>180</v>
      </c>
      <c r="G23" s="53" t="s">
        <v>180</v>
      </c>
      <c r="H23" s="45"/>
      <c r="J23" s="52">
        <v>46080.0</v>
      </c>
      <c r="K23" s="53">
        <v>3.66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46074.0</v>
      </c>
      <c r="B24" s="53" t="s">
        <v>180</v>
      </c>
      <c r="C24" s="53" t="s">
        <v>180</v>
      </c>
      <c r="D24" s="53" t="s">
        <v>180</v>
      </c>
      <c r="E24" s="53" t="s">
        <v>180</v>
      </c>
      <c r="F24" s="53" t="s">
        <v>180</v>
      </c>
      <c r="G24" s="53" t="s">
        <v>180</v>
      </c>
      <c r="H24" s="45"/>
      <c r="J24" s="52">
        <v>46081.0</v>
      </c>
      <c r="K24" s="53">
        <v>51.4</v>
      </c>
      <c r="L24" s="59" t="s">
        <v>180</v>
      </c>
      <c r="M24" s="59" t="s">
        <v>180</v>
      </c>
      <c r="N24" s="59" t="s">
        <v>180</v>
      </c>
      <c r="O24" s="59" t="s">
        <v>180</v>
      </c>
      <c r="P24" s="59" t="s">
        <v>180</v>
      </c>
      <c r="Q24" s="45"/>
    </row>
    <row r="25">
      <c r="B25" s="20"/>
      <c r="C25" s="20"/>
      <c r="D25" s="20"/>
      <c r="E25" s="20"/>
      <c r="F25" s="20"/>
      <c r="G25" s="20"/>
    </row>
    <row r="26">
      <c r="B26" s="20"/>
      <c r="C26" s="20"/>
      <c r="D26" s="20"/>
      <c r="E26" s="20"/>
      <c r="F26" s="20"/>
      <c r="G26" s="20"/>
    </row>
    <row r="27">
      <c r="A27" s="45"/>
      <c r="B27" s="45"/>
      <c r="C27" s="45"/>
      <c r="D27" s="45"/>
      <c r="E27" s="45"/>
      <c r="F27" s="45"/>
      <c r="G27" s="45"/>
      <c r="H27" s="45"/>
      <c r="J27" s="62" t="s">
        <v>185</v>
      </c>
    </row>
    <row r="28">
      <c r="A28" s="45"/>
      <c r="B28" s="45"/>
      <c r="C28" s="45"/>
      <c r="D28" s="45"/>
      <c r="E28" s="45"/>
      <c r="F28" s="45"/>
      <c r="G28" s="45"/>
      <c r="H28" s="45"/>
      <c r="J28" s="63">
        <f>sum(H9,H19,H30,Q19,Q9)</f>
        <v>-1241.26</v>
      </c>
    </row>
    <row r="29">
      <c r="A29" s="45"/>
      <c r="B29" s="45"/>
      <c r="C29" s="45"/>
      <c r="D29" s="45"/>
      <c r="E29" s="45"/>
      <c r="F29" s="45"/>
      <c r="G29" s="45"/>
      <c r="H29" s="45"/>
    </row>
    <row r="30">
      <c r="A30" s="45"/>
      <c r="B30" s="45"/>
      <c r="C30" s="45"/>
      <c r="D30" s="45"/>
      <c r="E30" s="45"/>
      <c r="F30" s="45"/>
      <c r="G30" s="45"/>
      <c r="H30" s="45"/>
    </row>
    <row r="31">
      <c r="A31" s="45"/>
      <c r="B31" s="45"/>
      <c r="C31" s="45"/>
      <c r="D31" s="45"/>
      <c r="E31" s="45"/>
      <c r="F31" s="45"/>
      <c r="G31" s="45"/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  <row r="35">
      <c r="A35" s="45"/>
      <c r="B35" s="45"/>
      <c r="C35" s="45"/>
      <c r="D35" s="45"/>
      <c r="E35" s="45"/>
      <c r="F35" s="45"/>
      <c r="G35" s="45"/>
      <c r="H35" s="45"/>
    </row>
  </sheetData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7</v>
      </c>
      <c r="B7" s="46"/>
      <c r="C7" s="46"/>
      <c r="D7" s="46"/>
      <c r="E7" s="46"/>
      <c r="F7" s="46"/>
      <c r="G7" s="46"/>
      <c r="J7" s="47" t="s">
        <v>7</v>
      </c>
      <c r="K7" s="48"/>
      <c r="L7" s="48"/>
      <c r="M7" s="48"/>
      <c r="N7" s="48"/>
      <c r="O7" s="48"/>
      <c r="P7" s="48"/>
      <c r="Q7" s="44"/>
    </row>
    <row r="8">
      <c r="A8" s="49">
        <v>46082.0</v>
      </c>
      <c r="B8" s="50" t="s">
        <v>180</v>
      </c>
      <c r="C8" s="50" t="s">
        <v>180</v>
      </c>
      <c r="D8" s="50" t="s">
        <v>180</v>
      </c>
      <c r="E8" s="50" t="s">
        <v>180</v>
      </c>
      <c r="F8" s="50" t="s">
        <v>180</v>
      </c>
      <c r="G8" s="50" t="s">
        <v>180</v>
      </c>
      <c r="H8" s="51" t="s">
        <v>181</v>
      </c>
      <c r="J8" s="52">
        <v>46089.0</v>
      </c>
      <c r="K8" s="53" t="s">
        <v>180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404</v>
      </c>
      <c r="T8" s="55">
        <f>SUM(E8:G14)</f>
        <v>200</v>
      </c>
    </row>
    <row r="9">
      <c r="A9" s="49">
        <v>46083.0</v>
      </c>
      <c r="B9" s="50">
        <v>375.0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-204</v>
      </c>
      <c r="J9" s="52">
        <v>46090.0</v>
      </c>
      <c r="K9" s="53">
        <v>79.99</v>
      </c>
      <c r="L9" s="53">
        <v>384.72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-469.71</v>
      </c>
      <c r="S9" s="55">
        <f>SUM(K8:M14)</f>
        <v>469.71</v>
      </c>
      <c r="T9" s="55">
        <f>sum(N8:P14)</f>
        <v>0</v>
      </c>
    </row>
    <row r="10">
      <c r="A10" s="49">
        <v>46084.0</v>
      </c>
      <c r="B10" s="50" t="s">
        <v>180</v>
      </c>
      <c r="C10" s="50" t="s">
        <v>180</v>
      </c>
      <c r="D10" s="50" t="s">
        <v>180</v>
      </c>
      <c r="E10" s="50" t="s">
        <v>180</v>
      </c>
      <c r="F10" s="50" t="s">
        <v>180</v>
      </c>
      <c r="G10" s="50" t="s">
        <v>180</v>
      </c>
      <c r="J10" s="52">
        <v>46091.0</v>
      </c>
      <c r="K10" s="53" t="s">
        <v>180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436.46</v>
      </c>
      <c r="T10" s="55">
        <f>sum(E18:G24)</f>
        <v>0</v>
      </c>
    </row>
    <row r="11">
      <c r="A11" s="49">
        <v>46085.0</v>
      </c>
      <c r="B11" s="50" t="s">
        <v>180</v>
      </c>
      <c r="C11" s="50" t="s">
        <v>180</v>
      </c>
      <c r="D11" s="50" t="s">
        <v>180</v>
      </c>
      <c r="E11" s="50" t="s">
        <v>180</v>
      </c>
      <c r="F11" s="50" t="s">
        <v>180</v>
      </c>
      <c r="G11" s="50" t="s">
        <v>180</v>
      </c>
      <c r="J11" s="52">
        <v>46092.0</v>
      </c>
      <c r="K11" s="53" t="s">
        <v>180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199.8</v>
      </c>
      <c r="T11" s="55">
        <f>sum(N18:P24)</f>
        <v>0</v>
      </c>
    </row>
    <row r="12">
      <c r="A12" s="49">
        <v>46086.0</v>
      </c>
      <c r="B12" s="50">
        <v>20.0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46093.0</v>
      </c>
      <c r="K12" s="53" t="s">
        <v>180</v>
      </c>
      <c r="L12" s="53" t="s">
        <v>180</v>
      </c>
      <c r="M12" s="53" t="s">
        <v>180</v>
      </c>
      <c r="N12" s="53" t="s">
        <v>180</v>
      </c>
      <c r="O12" s="53" t="s">
        <v>180</v>
      </c>
      <c r="P12" s="53" t="s">
        <v>180</v>
      </c>
      <c r="Q12" s="45"/>
      <c r="S12" s="55">
        <f>sum(B29:D31)</f>
        <v>80</v>
      </c>
      <c r="T12" s="55">
        <f>sum(E29:G31)</f>
        <v>0</v>
      </c>
    </row>
    <row r="13">
      <c r="A13" s="49">
        <v>46087.0</v>
      </c>
      <c r="B13" s="50">
        <v>9.0</v>
      </c>
      <c r="C13" s="50" t="s">
        <v>180</v>
      </c>
      <c r="D13" s="50" t="s">
        <v>180</v>
      </c>
      <c r="E13" s="50">
        <v>200.0</v>
      </c>
      <c r="F13" s="50" t="s">
        <v>180</v>
      </c>
      <c r="G13" s="50" t="s">
        <v>180</v>
      </c>
      <c r="J13" s="52">
        <v>46094.0</v>
      </c>
      <c r="K13" s="53" t="s">
        <v>180</v>
      </c>
      <c r="L13" s="53" t="s">
        <v>180</v>
      </c>
      <c r="M13" s="53" t="s">
        <v>180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46088.0</v>
      </c>
      <c r="B14" s="50" t="s">
        <v>180</v>
      </c>
      <c r="C14" s="50" t="s">
        <v>180</v>
      </c>
      <c r="D14" s="50" t="s">
        <v>180</v>
      </c>
      <c r="E14" s="50" t="s">
        <v>180</v>
      </c>
      <c r="F14" s="50" t="s">
        <v>180</v>
      </c>
      <c r="G14" s="50" t="s">
        <v>180</v>
      </c>
      <c r="J14" s="52">
        <v>46095.0</v>
      </c>
      <c r="K14" s="53">
        <v>5.0</v>
      </c>
      <c r="L14" s="53" t="s">
        <v>180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5">
      <c r="B15" s="20"/>
      <c r="C15" s="20"/>
      <c r="D15" s="20"/>
      <c r="E15" s="20"/>
      <c r="F15" s="20"/>
      <c r="G15" s="20"/>
      <c r="K15" s="20"/>
      <c r="L15" s="20"/>
      <c r="M15" s="20"/>
      <c r="N15" s="20"/>
      <c r="O15" s="20"/>
      <c r="P15" s="20"/>
    </row>
    <row r="16">
      <c r="A16" s="43" t="s">
        <v>182</v>
      </c>
      <c r="B16" s="64"/>
      <c r="C16" s="64"/>
      <c r="D16" s="64"/>
      <c r="E16" s="64"/>
      <c r="F16" s="64"/>
      <c r="G16" s="64"/>
      <c r="H16" s="45"/>
      <c r="J16" s="43" t="s">
        <v>183</v>
      </c>
      <c r="K16" s="64"/>
      <c r="L16" s="64"/>
      <c r="M16" s="64"/>
      <c r="N16" s="64"/>
      <c r="O16" s="64"/>
      <c r="P16" s="64"/>
      <c r="Q16" s="45"/>
    </row>
    <row r="17">
      <c r="A17" s="47" t="s">
        <v>7</v>
      </c>
      <c r="B17" s="65"/>
      <c r="C17" s="65"/>
      <c r="D17" s="65"/>
      <c r="E17" s="65"/>
      <c r="F17" s="65"/>
      <c r="G17" s="65"/>
      <c r="H17" s="44"/>
      <c r="J17" s="47" t="s">
        <v>7</v>
      </c>
      <c r="K17" s="65"/>
      <c r="L17" s="65"/>
      <c r="M17" s="65"/>
      <c r="N17" s="65"/>
      <c r="O17" s="65"/>
      <c r="P17" s="65"/>
      <c r="Q17" s="44"/>
    </row>
    <row r="18">
      <c r="A18" s="52">
        <v>46096.0</v>
      </c>
      <c r="B18" s="53" t="s">
        <v>180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46103.0</v>
      </c>
      <c r="K18" s="59" t="s">
        <v>180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46097.0</v>
      </c>
      <c r="B19" s="53">
        <v>260.0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-436.46</v>
      </c>
      <c r="J19" s="52">
        <v>46104.0</v>
      </c>
      <c r="K19" s="53">
        <v>67.1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-199.8</v>
      </c>
    </row>
    <row r="20">
      <c r="A20" s="52">
        <v>46098.0</v>
      </c>
      <c r="B20" s="53">
        <v>3.76</v>
      </c>
      <c r="C20" s="53">
        <v>130.0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46105.0</v>
      </c>
      <c r="K20" s="53">
        <v>40.7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46099.0</v>
      </c>
      <c r="B21" s="53">
        <v>3.92</v>
      </c>
      <c r="C21" s="53" t="s">
        <v>180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46106.0</v>
      </c>
      <c r="K21" s="53">
        <v>72.0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46100.0</v>
      </c>
      <c r="B22" s="53">
        <v>38.78</v>
      </c>
      <c r="C22" s="53" t="s">
        <v>180</v>
      </c>
      <c r="D22" s="53" t="s">
        <v>180</v>
      </c>
      <c r="E22" s="53" t="s">
        <v>180</v>
      </c>
      <c r="F22" s="53" t="s">
        <v>180</v>
      </c>
      <c r="G22" s="53" t="s">
        <v>180</v>
      </c>
      <c r="H22" s="45"/>
      <c r="J22" s="52">
        <v>46107.0</v>
      </c>
      <c r="K22" s="59" t="s">
        <v>180</v>
      </c>
      <c r="L22" s="59" t="s">
        <v>180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46101.0</v>
      </c>
      <c r="B23" s="53" t="s">
        <v>180</v>
      </c>
      <c r="C23" s="53" t="s">
        <v>180</v>
      </c>
      <c r="D23" s="53" t="s">
        <v>180</v>
      </c>
      <c r="E23" s="53" t="s">
        <v>180</v>
      </c>
      <c r="F23" s="53" t="s">
        <v>180</v>
      </c>
      <c r="G23" s="53" t="s">
        <v>180</v>
      </c>
      <c r="H23" s="45"/>
      <c r="J23" s="52">
        <v>46108.0</v>
      </c>
      <c r="K23" s="53">
        <v>20.0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46102.0</v>
      </c>
      <c r="B24" s="53" t="s">
        <v>180</v>
      </c>
      <c r="C24" s="53" t="s">
        <v>180</v>
      </c>
      <c r="D24" s="53" t="s">
        <v>180</v>
      </c>
      <c r="E24" s="53" t="s">
        <v>180</v>
      </c>
      <c r="F24" s="53" t="s">
        <v>180</v>
      </c>
      <c r="G24" s="53" t="s">
        <v>180</v>
      </c>
      <c r="H24" s="45"/>
      <c r="J24" s="52">
        <v>46109.0</v>
      </c>
      <c r="K24" s="59" t="s">
        <v>180</v>
      </c>
      <c r="L24" s="59" t="s">
        <v>180</v>
      </c>
      <c r="M24" s="59" t="s">
        <v>180</v>
      </c>
      <c r="N24" s="59" t="s">
        <v>180</v>
      </c>
      <c r="O24" s="59" t="s">
        <v>180</v>
      </c>
      <c r="P24" s="59" t="s">
        <v>180</v>
      </c>
      <c r="Q24" s="45"/>
    </row>
    <row r="25">
      <c r="B25" s="20"/>
      <c r="C25" s="20"/>
      <c r="D25" s="20"/>
      <c r="E25" s="20"/>
      <c r="F25" s="20"/>
      <c r="G25" s="20"/>
    </row>
    <row r="26">
      <c r="B26" s="20"/>
      <c r="C26" s="20"/>
      <c r="D26" s="20"/>
      <c r="E26" s="20"/>
      <c r="F26" s="20"/>
      <c r="G26" s="20"/>
    </row>
    <row r="27">
      <c r="A27" s="43" t="s">
        <v>184</v>
      </c>
      <c r="B27" s="64"/>
      <c r="C27" s="64"/>
      <c r="D27" s="64"/>
      <c r="E27" s="64"/>
      <c r="F27" s="64"/>
      <c r="G27" s="64"/>
      <c r="H27" s="45"/>
      <c r="J27" s="62" t="s">
        <v>185</v>
      </c>
    </row>
    <row r="28">
      <c r="A28" s="47" t="s">
        <v>7</v>
      </c>
      <c r="B28" s="65"/>
      <c r="C28" s="65"/>
      <c r="D28" s="65"/>
      <c r="E28" s="65"/>
      <c r="F28" s="65"/>
      <c r="G28" s="65"/>
      <c r="H28" s="44"/>
      <c r="J28" s="63">
        <f>sum(H9,H19,H30,Q19,Q9)</f>
        <v>-1389.97</v>
      </c>
    </row>
    <row r="29">
      <c r="A29" s="52">
        <v>46110.0</v>
      </c>
      <c r="B29" s="53">
        <v>30.0</v>
      </c>
      <c r="C29" s="53" t="s">
        <v>180</v>
      </c>
      <c r="D29" s="53" t="s">
        <v>180</v>
      </c>
      <c r="E29" s="53" t="s">
        <v>180</v>
      </c>
      <c r="F29" s="53" t="s">
        <v>180</v>
      </c>
      <c r="G29" s="53" t="s">
        <v>180</v>
      </c>
      <c r="H29" s="54" t="s">
        <v>181</v>
      </c>
    </row>
    <row r="30">
      <c r="A30" s="52">
        <v>46111.0</v>
      </c>
      <c r="B30" s="53">
        <v>50.0</v>
      </c>
      <c r="C30" s="53" t="s">
        <v>180</v>
      </c>
      <c r="D30" s="53" t="s">
        <v>180</v>
      </c>
      <c r="E30" s="53" t="s">
        <v>180</v>
      </c>
      <c r="F30" s="53" t="s">
        <v>180</v>
      </c>
      <c r="G30" s="53" t="s">
        <v>180</v>
      </c>
      <c r="H30" s="57">
        <f>T12-S12</f>
        <v>-80</v>
      </c>
    </row>
    <row r="31">
      <c r="A31" s="52">
        <v>46112.0</v>
      </c>
      <c r="B31" s="53" t="s">
        <v>180</v>
      </c>
      <c r="C31" s="53" t="s">
        <v>180</v>
      </c>
      <c r="D31" s="53" t="s">
        <v>180</v>
      </c>
      <c r="E31" s="53" t="s">
        <v>180</v>
      </c>
      <c r="F31" s="53" t="s">
        <v>180</v>
      </c>
      <c r="G31" s="53" t="s">
        <v>180</v>
      </c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  <row r="35">
      <c r="A35" s="45"/>
      <c r="B35" s="45"/>
      <c r="C35" s="45"/>
      <c r="D35" s="45"/>
      <c r="E35" s="45"/>
      <c r="F35" s="45"/>
      <c r="G35" s="45"/>
      <c r="H35" s="45"/>
    </row>
  </sheetData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8</v>
      </c>
      <c r="B7" s="46"/>
      <c r="C7" s="46"/>
      <c r="D7" s="46"/>
      <c r="E7" s="46"/>
      <c r="F7" s="46"/>
      <c r="G7" s="46"/>
      <c r="J7" s="42" t="s">
        <v>8</v>
      </c>
      <c r="K7" s="48"/>
      <c r="L7" s="48"/>
      <c r="M7" s="48"/>
      <c r="N7" s="48"/>
      <c r="O7" s="48"/>
      <c r="P7" s="48"/>
      <c r="Q7" s="44"/>
    </row>
    <row r="8">
      <c r="A8" s="49">
        <v>46113.0</v>
      </c>
      <c r="B8" s="50">
        <v>3.84</v>
      </c>
      <c r="C8" s="50" t="s">
        <v>180</v>
      </c>
      <c r="D8" s="50" t="s">
        <v>180</v>
      </c>
      <c r="E8" s="50" t="s">
        <v>180</v>
      </c>
      <c r="F8" s="50" t="s">
        <v>180</v>
      </c>
      <c r="G8" s="50" t="s">
        <v>180</v>
      </c>
      <c r="H8" s="51" t="s">
        <v>181</v>
      </c>
      <c r="J8" s="52">
        <v>46120.0</v>
      </c>
      <c r="K8" s="53">
        <v>5.5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536.95</v>
      </c>
      <c r="T8" s="55">
        <f>SUM(E8:G14)</f>
        <v>150</v>
      </c>
    </row>
    <row r="9">
      <c r="A9" s="49">
        <v>46114.0</v>
      </c>
      <c r="B9" s="50" t="s">
        <v>180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-386.95</v>
      </c>
      <c r="J9" s="52">
        <v>46121.0</v>
      </c>
      <c r="K9" s="53">
        <v>126.25</v>
      </c>
      <c r="L9" s="53" t="s">
        <v>180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-391.08</v>
      </c>
      <c r="S9" s="55">
        <f>SUM(K8:M14)</f>
        <v>406.08</v>
      </c>
      <c r="T9" s="55">
        <f>sum(N8:P14)</f>
        <v>15</v>
      </c>
    </row>
    <row r="10">
      <c r="A10" s="49">
        <v>46115.0</v>
      </c>
      <c r="B10" s="50" t="s">
        <v>180</v>
      </c>
      <c r="C10" s="50" t="s">
        <v>180</v>
      </c>
      <c r="D10" s="50" t="s">
        <v>180</v>
      </c>
      <c r="E10" s="50" t="s">
        <v>180</v>
      </c>
      <c r="F10" s="50" t="s">
        <v>180</v>
      </c>
      <c r="G10" s="50" t="s">
        <v>180</v>
      </c>
      <c r="J10" s="52">
        <v>46122.0</v>
      </c>
      <c r="K10" s="53">
        <v>129.24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562.75</v>
      </c>
      <c r="T10" s="55">
        <f>sum(E18:G24)</f>
        <v>0</v>
      </c>
    </row>
    <row r="11">
      <c r="A11" s="49">
        <v>46116.0</v>
      </c>
      <c r="B11" s="50" t="s">
        <v>180</v>
      </c>
      <c r="C11" s="50" t="s">
        <v>180</v>
      </c>
      <c r="D11" s="50" t="s">
        <v>180</v>
      </c>
      <c r="E11" s="50" t="s">
        <v>180</v>
      </c>
      <c r="F11" s="50" t="s">
        <v>180</v>
      </c>
      <c r="G11" s="50" t="s">
        <v>180</v>
      </c>
      <c r="J11" s="52">
        <v>46123.0</v>
      </c>
      <c r="K11" s="53" t="s">
        <v>180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130.61</v>
      </c>
      <c r="T11" s="55">
        <f>sum(N18:P24)</f>
        <v>0</v>
      </c>
    </row>
    <row r="12">
      <c r="A12" s="49">
        <v>46117.0</v>
      </c>
      <c r="B12" s="50" t="s">
        <v>180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46124.0</v>
      </c>
      <c r="K12" s="53">
        <v>55.09</v>
      </c>
      <c r="L12" s="53" t="s">
        <v>180</v>
      </c>
      <c r="M12" s="53" t="s">
        <v>180</v>
      </c>
      <c r="N12" s="53">
        <v>15.0</v>
      </c>
      <c r="O12" s="53" t="s">
        <v>180</v>
      </c>
      <c r="P12" s="53" t="s">
        <v>180</v>
      </c>
      <c r="Q12" s="45"/>
      <c r="S12" s="55">
        <f>sum(B29:D30)</f>
        <v>53.76</v>
      </c>
      <c r="T12" s="55">
        <f>sum(E29:G30)</f>
        <v>300</v>
      </c>
    </row>
    <row r="13">
      <c r="A13" s="49">
        <v>46118.0</v>
      </c>
      <c r="B13" s="50">
        <v>80.0</v>
      </c>
      <c r="C13" s="50" t="s">
        <v>180</v>
      </c>
      <c r="D13" s="50" t="s">
        <v>180</v>
      </c>
      <c r="E13" s="50">
        <v>150.0</v>
      </c>
      <c r="F13" s="50" t="s">
        <v>180</v>
      </c>
      <c r="G13" s="50" t="s">
        <v>180</v>
      </c>
      <c r="J13" s="52">
        <v>46125.0</v>
      </c>
      <c r="K13" s="53">
        <v>40.0</v>
      </c>
      <c r="L13" s="53" t="s">
        <v>180</v>
      </c>
      <c r="M13" s="53" t="s">
        <v>180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46119.0</v>
      </c>
      <c r="B14" s="50">
        <v>384.72</v>
      </c>
      <c r="C14" s="50">
        <v>62.89</v>
      </c>
      <c r="D14" s="50">
        <v>5.5</v>
      </c>
      <c r="E14" s="50" t="s">
        <v>180</v>
      </c>
      <c r="F14" s="50" t="s">
        <v>180</v>
      </c>
      <c r="G14" s="50" t="s">
        <v>180</v>
      </c>
      <c r="J14" s="52">
        <v>46126.0</v>
      </c>
      <c r="K14" s="53">
        <v>50.0</v>
      </c>
      <c r="L14" s="53" t="s">
        <v>180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5">
      <c r="B15" s="20"/>
      <c r="C15" s="20"/>
      <c r="D15" s="20"/>
      <c r="E15" s="20"/>
      <c r="F15" s="20"/>
      <c r="G15" s="20"/>
      <c r="K15" s="20"/>
      <c r="L15" s="20"/>
      <c r="M15" s="20"/>
      <c r="N15" s="20"/>
      <c r="O15" s="20"/>
      <c r="P15" s="20"/>
    </row>
    <row r="16">
      <c r="A16" s="43" t="s">
        <v>182</v>
      </c>
      <c r="B16" s="64"/>
      <c r="C16" s="64"/>
      <c r="D16" s="64"/>
      <c r="E16" s="64"/>
      <c r="F16" s="64"/>
      <c r="G16" s="64"/>
      <c r="H16" s="45"/>
      <c r="J16" s="43" t="s">
        <v>183</v>
      </c>
      <c r="K16" s="64"/>
      <c r="L16" s="64"/>
      <c r="M16" s="64"/>
      <c r="N16" s="64"/>
      <c r="O16" s="64"/>
      <c r="P16" s="64"/>
      <c r="Q16" s="45"/>
    </row>
    <row r="17">
      <c r="A17" s="42" t="s">
        <v>8</v>
      </c>
      <c r="B17" s="65"/>
      <c r="C17" s="65"/>
      <c r="D17" s="65"/>
      <c r="E17" s="65"/>
      <c r="F17" s="65"/>
      <c r="G17" s="65"/>
      <c r="H17" s="44"/>
      <c r="J17" s="42" t="s">
        <v>8</v>
      </c>
      <c r="K17" s="65"/>
      <c r="L17" s="65"/>
      <c r="M17" s="65"/>
      <c r="N17" s="65"/>
      <c r="O17" s="65"/>
      <c r="P17" s="65"/>
      <c r="Q17" s="44"/>
    </row>
    <row r="18">
      <c r="A18" s="52">
        <v>46127.0</v>
      </c>
      <c r="B18" s="53">
        <v>12.75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46134.0</v>
      </c>
      <c r="K18" s="53">
        <v>26.77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46128.0</v>
      </c>
      <c r="B19" s="53">
        <v>50.0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-562.75</v>
      </c>
      <c r="J19" s="52">
        <v>46135.0</v>
      </c>
      <c r="K19" s="59" t="s">
        <v>180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-130.61</v>
      </c>
    </row>
    <row r="20">
      <c r="A20" s="52">
        <v>46129.0</v>
      </c>
      <c r="B20" s="53" t="s">
        <v>180</v>
      </c>
      <c r="C20" s="53" t="s">
        <v>180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46136.0</v>
      </c>
      <c r="K20" s="59" t="s">
        <v>180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46130.0</v>
      </c>
      <c r="B21" s="53" t="s">
        <v>180</v>
      </c>
      <c r="C21" s="53" t="s">
        <v>180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46137.0</v>
      </c>
      <c r="K21" s="53">
        <v>100.0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46131.0</v>
      </c>
      <c r="B22" s="53" t="s">
        <v>180</v>
      </c>
      <c r="C22" s="53" t="s">
        <v>180</v>
      </c>
      <c r="D22" s="53" t="s">
        <v>180</v>
      </c>
      <c r="E22" s="53" t="s">
        <v>180</v>
      </c>
      <c r="F22" s="53" t="s">
        <v>180</v>
      </c>
      <c r="G22" s="53" t="s">
        <v>180</v>
      </c>
      <c r="H22" s="45"/>
      <c r="J22" s="52">
        <v>46138.0</v>
      </c>
      <c r="K22" s="59" t="s">
        <v>180</v>
      </c>
      <c r="L22" s="59" t="s">
        <v>180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46132.0</v>
      </c>
      <c r="B23" s="53">
        <v>500.0</v>
      </c>
      <c r="C23" s="53" t="s">
        <v>180</v>
      </c>
      <c r="D23" s="53" t="s">
        <v>180</v>
      </c>
      <c r="E23" s="53" t="s">
        <v>180</v>
      </c>
      <c r="F23" s="53" t="s">
        <v>180</v>
      </c>
      <c r="G23" s="53" t="s">
        <v>180</v>
      </c>
      <c r="H23" s="45"/>
      <c r="J23" s="52">
        <v>46139.0</v>
      </c>
      <c r="K23" s="59" t="s">
        <v>180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46133.0</v>
      </c>
      <c r="B24" s="53" t="s">
        <v>180</v>
      </c>
      <c r="C24" s="53" t="s">
        <v>180</v>
      </c>
      <c r="D24" s="53" t="s">
        <v>180</v>
      </c>
      <c r="E24" s="53" t="s">
        <v>180</v>
      </c>
      <c r="F24" s="53" t="s">
        <v>180</v>
      </c>
      <c r="G24" s="53" t="s">
        <v>180</v>
      </c>
      <c r="H24" s="45"/>
      <c r="J24" s="52">
        <v>46140.0</v>
      </c>
      <c r="K24" s="53">
        <v>3.84</v>
      </c>
      <c r="L24" s="59" t="s">
        <v>180</v>
      </c>
      <c r="M24" s="59" t="s">
        <v>180</v>
      </c>
      <c r="N24" s="59" t="s">
        <v>180</v>
      </c>
      <c r="O24" s="59" t="s">
        <v>180</v>
      </c>
      <c r="P24" s="59" t="s">
        <v>180</v>
      </c>
      <c r="Q24" s="45"/>
    </row>
    <row r="25">
      <c r="B25" s="20"/>
      <c r="C25" s="20"/>
      <c r="D25" s="20"/>
      <c r="E25" s="20"/>
      <c r="F25" s="20"/>
      <c r="G25" s="20"/>
    </row>
    <row r="26">
      <c r="B26" s="20"/>
      <c r="C26" s="20"/>
      <c r="D26" s="20"/>
      <c r="E26" s="20"/>
      <c r="F26" s="20"/>
      <c r="G26" s="20"/>
    </row>
    <row r="27">
      <c r="A27" s="43" t="s">
        <v>184</v>
      </c>
      <c r="B27" s="64"/>
      <c r="C27" s="64"/>
      <c r="D27" s="64"/>
      <c r="E27" s="64"/>
      <c r="F27" s="64"/>
      <c r="G27" s="64"/>
      <c r="H27" s="45"/>
      <c r="J27" s="62" t="s">
        <v>185</v>
      </c>
    </row>
    <row r="28">
      <c r="A28" s="42" t="s">
        <v>8</v>
      </c>
      <c r="B28" s="65"/>
      <c r="C28" s="65"/>
      <c r="D28" s="65"/>
      <c r="E28" s="65"/>
      <c r="F28" s="65"/>
      <c r="G28" s="65"/>
      <c r="H28" s="44"/>
      <c r="J28" s="63">
        <f>sum(H9,H19,H30,Q19,Q9)</f>
        <v>-1225.15</v>
      </c>
    </row>
    <row r="29">
      <c r="A29" s="52">
        <v>46141.0</v>
      </c>
      <c r="B29" s="53">
        <v>50.0</v>
      </c>
      <c r="C29" s="53">
        <v>3.76</v>
      </c>
      <c r="D29" s="53" t="s">
        <v>180</v>
      </c>
      <c r="E29" s="53">
        <v>300.0</v>
      </c>
      <c r="F29" s="53" t="s">
        <v>180</v>
      </c>
      <c r="G29" s="53" t="s">
        <v>180</v>
      </c>
      <c r="H29" s="54" t="s">
        <v>181</v>
      </c>
    </row>
    <row r="30">
      <c r="A30" s="52">
        <v>46142.0</v>
      </c>
      <c r="B30" s="53" t="s">
        <v>180</v>
      </c>
      <c r="C30" s="53" t="s">
        <v>180</v>
      </c>
      <c r="D30" s="53" t="s">
        <v>180</v>
      </c>
      <c r="E30" s="53" t="s">
        <v>180</v>
      </c>
      <c r="F30" s="53" t="s">
        <v>180</v>
      </c>
      <c r="G30" s="53" t="s">
        <v>180</v>
      </c>
      <c r="H30" s="57">
        <f>T12-S12</f>
        <v>246.24</v>
      </c>
    </row>
    <row r="31">
      <c r="A31" s="45"/>
      <c r="B31" s="45"/>
      <c r="C31" s="45"/>
      <c r="D31" s="45"/>
      <c r="E31" s="45"/>
      <c r="F31" s="45"/>
      <c r="G31" s="45"/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</sheetData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9</v>
      </c>
      <c r="B7" s="46"/>
      <c r="C7" s="46"/>
      <c r="D7" s="46"/>
      <c r="E7" s="46"/>
      <c r="F7" s="46"/>
      <c r="G7" s="46"/>
      <c r="J7" s="42" t="s">
        <v>9</v>
      </c>
      <c r="K7" s="48"/>
      <c r="L7" s="48"/>
      <c r="M7" s="48"/>
      <c r="N7" s="48"/>
      <c r="O7" s="48"/>
      <c r="P7" s="48"/>
      <c r="Q7" s="44"/>
    </row>
    <row r="8">
      <c r="A8" s="49">
        <v>46143.0</v>
      </c>
      <c r="B8" s="50" t="s">
        <v>180</v>
      </c>
      <c r="C8" s="50" t="s">
        <v>180</v>
      </c>
      <c r="D8" s="50" t="s">
        <v>180</v>
      </c>
      <c r="E8" s="50" t="s">
        <v>180</v>
      </c>
      <c r="F8" s="50" t="s">
        <v>180</v>
      </c>
      <c r="G8" s="50" t="s">
        <v>180</v>
      </c>
      <c r="H8" s="51" t="s">
        <v>181</v>
      </c>
      <c r="J8" s="52">
        <v>46150.0</v>
      </c>
      <c r="K8" s="53" t="s">
        <v>180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0</v>
      </c>
      <c r="T8" s="55">
        <f>SUM(E8:G14)</f>
        <v>0</v>
      </c>
    </row>
    <row r="9">
      <c r="A9" s="49">
        <v>46144.0</v>
      </c>
      <c r="B9" s="50" t="s">
        <v>180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0</v>
      </c>
      <c r="J9" s="52">
        <v>46151.0</v>
      </c>
      <c r="K9" s="53" t="s">
        <v>180</v>
      </c>
      <c r="L9" s="53" t="s">
        <v>180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-423.11</v>
      </c>
      <c r="S9" s="55">
        <f>SUM(K8:M14)</f>
        <v>423.11</v>
      </c>
      <c r="T9" s="55">
        <f>sum(N8:P14)</f>
        <v>0</v>
      </c>
    </row>
    <row r="10">
      <c r="A10" s="49">
        <v>46145.0</v>
      </c>
      <c r="B10" s="50" t="s">
        <v>180</v>
      </c>
      <c r="C10" s="50" t="s">
        <v>180</v>
      </c>
      <c r="D10" s="50" t="s">
        <v>180</v>
      </c>
      <c r="E10" s="50" t="s">
        <v>180</v>
      </c>
      <c r="F10" s="50" t="s">
        <v>180</v>
      </c>
      <c r="G10" s="50" t="s">
        <v>180</v>
      </c>
      <c r="J10" s="52">
        <v>46152.0</v>
      </c>
      <c r="K10" s="53">
        <v>384.72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761.38</v>
      </c>
      <c r="T10" s="55">
        <f>sum(E18:G24)</f>
        <v>30</v>
      </c>
    </row>
    <row r="11">
      <c r="A11" s="49">
        <v>46146.0</v>
      </c>
      <c r="B11" s="50" t="s">
        <v>180</v>
      </c>
      <c r="C11" s="50" t="s">
        <v>180</v>
      </c>
      <c r="D11" s="50" t="s">
        <v>180</v>
      </c>
      <c r="E11" s="50" t="s">
        <v>180</v>
      </c>
      <c r="F11" s="50" t="s">
        <v>180</v>
      </c>
      <c r="G11" s="50" t="s">
        <v>180</v>
      </c>
      <c r="J11" s="52">
        <v>46153.0</v>
      </c>
      <c r="K11" s="53">
        <v>32.89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159.99</v>
      </c>
      <c r="T11" s="55">
        <f>sum(N18:P24)</f>
        <v>5.9</v>
      </c>
    </row>
    <row r="12">
      <c r="A12" s="49">
        <v>46147.0</v>
      </c>
      <c r="B12" s="50" t="s">
        <v>180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46154.0</v>
      </c>
      <c r="K12" s="53">
        <v>5.5</v>
      </c>
      <c r="L12" s="53" t="s">
        <v>180</v>
      </c>
      <c r="M12" s="53" t="s">
        <v>180</v>
      </c>
      <c r="N12" s="53" t="s">
        <v>180</v>
      </c>
      <c r="O12" s="53" t="s">
        <v>180</v>
      </c>
      <c r="P12" s="53" t="s">
        <v>180</v>
      </c>
      <c r="Q12" s="45"/>
      <c r="S12" s="55">
        <f>sum(B29:D31)</f>
        <v>0</v>
      </c>
      <c r="T12" s="55">
        <f>sum(E29:G31)</f>
        <v>0</v>
      </c>
    </row>
    <row r="13">
      <c r="A13" s="49">
        <v>46148.0</v>
      </c>
      <c r="B13" s="50" t="s">
        <v>180</v>
      </c>
      <c r="C13" s="50" t="s">
        <v>180</v>
      </c>
      <c r="D13" s="50" t="s">
        <v>180</v>
      </c>
      <c r="E13" s="50" t="s">
        <v>180</v>
      </c>
      <c r="F13" s="50" t="s">
        <v>180</v>
      </c>
      <c r="G13" s="50" t="s">
        <v>180</v>
      </c>
      <c r="J13" s="52">
        <v>46155.0</v>
      </c>
      <c r="K13" s="53" t="s">
        <v>180</v>
      </c>
      <c r="L13" s="53" t="s">
        <v>180</v>
      </c>
      <c r="M13" s="53" t="s">
        <v>180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46149.0</v>
      </c>
      <c r="B14" s="50" t="s">
        <v>180</v>
      </c>
      <c r="C14" s="50" t="s">
        <v>180</v>
      </c>
      <c r="D14" s="50" t="s">
        <v>180</v>
      </c>
      <c r="E14" s="50" t="s">
        <v>180</v>
      </c>
      <c r="F14" s="50" t="s">
        <v>180</v>
      </c>
      <c r="G14" s="50" t="s">
        <v>180</v>
      </c>
      <c r="J14" s="52">
        <v>46156.0</v>
      </c>
      <c r="K14" s="53" t="s">
        <v>180</v>
      </c>
      <c r="L14" s="53" t="s">
        <v>180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5">
      <c r="B15" s="20"/>
      <c r="C15" s="20"/>
      <c r="D15" s="20"/>
      <c r="E15" s="20"/>
      <c r="F15" s="20"/>
      <c r="G15" s="20"/>
      <c r="K15" s="20"/>
      <c r="L15" s="20"/>
      <c r="M15" s="20"/>
      <c r="N15" s="20"/>
      <c r="O15" s="20"/>
      <c r="P15" s="20"/>
    </row>
    <row r="16">
      <c r="A16" s="43" t="s">
        <v>182</v>
      </c>
      <c r="B16" s="64"/>
      <c r="C16" s="64"/>
      <c r="D16" s="64"/>
      <c r="E16" s="64"/>
      <c r="F16" s="64"/>
      <c r="G16" s="64"/>
      <c r="H16" s="45"/>
      <c r="J16" s="43" t="s">
        <v>183</v>
      </c>
      <c r="K16" s="64"/>
      <c r="L16" s="64"/>
      <c r="M16" s="64"/>
      <c r="N16" s="64"/>
      <c r="O16" s="64"/>
      <c r="P16" s="64"/>
      <c r="Q16" s="45"/>
    </row>
    <row r="17">
      <c r="A17" s="42" t="s">
        <v>9</v>
      </c>
      <c r="B17" s="65"/>
      <c r="C17" s="65"/>
      <c r="D17" s="65"/>
      <c r="E17" s="65"/>
      <c r="F17" s="65"/>
      <c r="G17" s="65"/>
      <c r="H17" s="44"/>
      <c r="J17" s="42" t="s">
        <v>9</v>
      </c>
      <c r="K17" s="65"/>
      <c r="L17" s="65"/>
      <c r="M17" s="65"/>
      <c r="N17" s="65"/>
      <c r="O17" s="65"/>
      <c r="P17" s="65"/>
      <c r="Q17" s="44"/>
    </row>
    <row r="18">
      <c r="A18" s="52">
        <v>46157.0</v>
      </c>
      <c r="B18" s="53" t="s">
        <v>180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46164.0</v>
      </c>
      <c r="K18" s="59" t="s">
        <v>180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46158.0</v>
      </c>
      <c r="B19" s="53" t="s">
        <v>180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-731.38</v>
      </c>
      <c r="J19" s="52">
        <v>46165.0</v>
      </c>
      <c r="K19" s="59" t="s">
        <v>180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-154.09</v>
      </c>
    </row>
    <row r="20">
      <c r="A20" s="52">
        <v>46159.0</v>
      </c>
      <c r="B20" s="53">
        <v>59.57</v>
      </c>
      <c r="C20" s="53" t="s">
        <v>180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46166.0</v>
      </c>
      <c r="K20" s="59" t="s">
        <v>180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46160.0</v>
      </c>
      <c r="B21" s="53">
        <v>20.0</v>
      </c>
      <c r="C21" s="53">
        <v>34.0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46167.0</v>
      </c>
      <c r="K21" s="59" t="s">
        <v>180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46161.0</v>
      </c>
      <c r="B22" s="53">
        <v>8.6</v>
      </c>
      <c r="C22" s="53" t="s">
        <v>180</v>
      </c>
      <c r="D22" s="53" t="s">
        <v>180</v>
      </c>
      <c r="E22" s="53" t="s">
        <v>180</v>
      </c>
      <c r="F22" s="53" t="s">
        <v>180</v>
      </c>
      <c r="G22" s="53" t="s">
        <v>180</v>
      </c>
      <c r="H22" s="45"/>
      <c r="J22" s="52">
        <v>46168.0</v>
      </c>
      <c r="K22" s="53">
        <v>100.0</v>
      </c>
      <c r="L22" s="53">
        <v>50.0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46162.0</v>
      </c>
      <c r="B23" s="53">
        <v>474.0</v>
      </c>
      <c r="C23" s="53">
        <v>20.97</v>
      </c>
      <c r="D23" s="53">
        <v>4.24</v>
      </c>
      <c r="E23" s="53" t="s">
        <v>180</v>
      </c>
      <c r="F23" s="53" t="s">
        <v>180</v>
      </c>
      <c r="G23" s="53" t="s">
        <v>180</v>
      </c>
      <c r="H23" s="45"/>
      <c r="J23" s="52">
        <v>46169.0</v>
      </c>
      <c r="K23" s="53">
        <v>4.0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46163.0</v>
      </c>
      <c r="B24" s="53">
        <v>140.0</v>
      </c>
      <c r="C24" s="53" t="s">
        <v>180</v>
      </c>
      <c r="D24" s="53" t="s">
        <v>180</v>
      </c>
      <c r="E24" s="53">
        <v>30.0</v>
      </c>
      <c r="F24" s="53" t="s">
        <v>180</v>
      </c>
      <c r="G24" s="53" t="s">
        <v>180</v>
      </c>
      <c r="H24" s="45"/>
      <c r="J24" s="52">
        <v>46170.0</v>
      </c>
      <c r="K24" s="53">
        <v>5.99</v>
      </c>
      <c r="L24" s="59" t="s">
        <v>180</v>
      </c>
      <c r="M24" s="59" t="s">
        <v>180</v>
      </c>
      <c r="N24" s="53">
        <v>5.9</v>
      </c>
      <c r="O24" s="59" t="s">
        <v>180</v>
      </c>
      <c r="P24" s="59" t="s">
        <v>180</v>
      </c>
      <c r="Q24" s="45"/>
    </row>
    <row r="25">
      <c r="B25" s="20"/>
      <c r="C25" s="20"/>
      <c r="D25" s="20"/>
      <c r="E25" s="20"/>
      <c r="F25" s="20"/>
      <c r="G25" s="20"/>
    </row>
    <row r="26">
      <c r="B26" s="20"/>
      <c r="C26" s="20"/>
      <c r="D26" s="20"/>
      <c r="E26" s="20"/>
      <c r="F26" s="20"/>
      <c r="G26" s="20"/>
    </row>
    <row r="27">
      <c r="A27" s="43" t="s">
        <v>184</v>
      </c>
      <c r="B27" s="64"/>
      <c r="C27" s="64"/>
      <c r="D27" s="64"/>
      <c r="E27" s="64"/>
      <c r="F27" s="64"/>
      <c r="G27" s="64"/>
      <c r="H27" s="45"/>
      <c r="J27" s="62" t="s">
        <v>185</v>
      </c>
    </row>
    <row r="28">
      <c r="A28" s="42" t="s">
        <v>9</v>
      </c>
      <c r="B28" s="65"/>
      <c r="C28" s="65"/>
      <c r="D28" s="65"/>
      <c r="E28" s="65"/>
      <c r="F28" s="65"/>
      <c r="G28" s="65"/>
      <c r="H28" s="44"/>
      <c r="J28" s="63">
        <f>sum(H9,H19,H30,Q19,Q9)</f>
        <v>-1308.58</v>
      </c>
    </row>
    <row r="29">
      <c r="A29" s="52">
        <v>46171.0</v>
      </c>
      <c r="B29" s="53" t="s">
        <v>180</v>
      </c>
      <c r="C29" s="53" t="s">
        <v>180</v>
      </c>
      <c r="D29" s="53" t="s">
        <v>180</v>
      </c>
      <c r="E29" s="53" t="s">
        <v>180</v>
      </c>
      <c r="F29" s="53" t="s">
        <v>180</v>
      </c>
      <c r="G29" s="53" t="s">
        <v>180</v>
      </c>
      <c r="H29" s="54" t="s">
        <v>181</v>
      </c>
    </row>
    <row r="30">
      <c r="A30" s="52">
        <v>46172.0</v>
      </c>
      <c r="B30" s="53" t="s">
        <v>180</v>
      </c>
      <c r="C30" s="53" t="s">
        <v>180</v>
      </c>
      <c r="D30" s="53" t="s">
        <v>180</v>
      </c>
      <c r="E30" s="53" t="s">
        <v>180</v>
      </c>
      <c r="F30" s="53" t="s">
        <v>180</v>
      </c>
      <c r="G30" s="53" t="s">
        <v>180</v>
      </c>
      <c r="H30" s="57">
        <f>T12-S12</f>
        <v>0</v>
      </c>
    </row>
    <row r="31">
      <c r="A31" s="52">
        <v>46173.0</v>
      </c>
      <c r="B31" s="53" t="s">
        <v>180</v>
      </c>
      <c r="C31" s="53" t="s">
        <v>180</v>
      </c>
      <c r="D31" s="53" t="s">
        <v>180</v>
      </c>
      <c r="E31" s="53" t="s">
        <v>180</v>
      </c>
      <c r="F31" s="53" t="s">
        <v>180</v>
      </c>
      <c r="G31" s="53" t="s">
        <v>180</v>
      </c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  <row r="35">
      <c r="A35" s="45"/>
      <c r="B35" s="45"/>
      <c r="C35" s="45"/>
      <c r="D35" s="45"/>
      <c r="E35" s="45"/>
      <c r="F35" s="45"/>
      <c r="G35" s="45"/>
      <c r="H35" s="45"/>
    </row>
  </sheetData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10</v>
      </c>
      <c r="B7" s="46"/>
      <c r="C7" s="46"/>
      <c r="D7" s="46"/>
      <c r="E7" s="46"/>
      <c r="F7" s="46"/>
      <c r="G7" s="46"/>
      <c r="J7" s="42" t="s">
        <v>10</v>
      </c>
      <c r="K7" s="48"/>
      <c r="L7" s="48"/>
      <c r="M7" s="48"/>
      <c r="N7" s="48"/>
      <c r="O7" s="48"/>
      <c r="P7" s="48"/>
      <c r="Q7" s="44"/>
    </row>
    <row r="8">
      <c r="A8" s="49">
        <v>46174.0</v>
      </c>
      <c r="B8" s="50">
        <v>10.75</v>
      </c>
      <c r="C8" s="50" t="s">
        <v>180</v>
      </c>
      <c r="D8" s="50" t="s">
        <v>180</v>
      </c>
      <c r="E8" s="50">
        <v>24.0</v>
      </c>
      <c r="F8" s="50" t="s">
        <v>180</v>
      </c>
      <c r="G8" s="50" t="s">
        <v>180</v>
      </c>
      <c r="H8" s="51" t="s">
        <v>181</v>
      </c>
      <c r="J8" s="52">
        <v>46181.0</v>
      </c>
      <c r="K8" s="53" t="s">
        <v>180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176.1</v>
      </c>
      <c r="T8" s="55">
        <f>SUM(E8:G14)</f>
        <v>71.08</v>
      </c>
    </row>
    <row r="9">
      <c r="A9" s="49">
        <v>46175.0</v>
      </c>
      <c r="B9" s="50" t="s">
        <v>180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-105.02</v>
      </c>
      <c r="J9" s="52">
        <v>46182.0</v>
      </c>
      <c r="K9" s="53" t="s">
        <v>180</v>
      </c>
      <c r="L9" s="53" t="s">
        <v>180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0</v>
      </c>
      <c r="S9" s="55">
        <f>SUM(K8:M14)</f>
        <v>0</v>
      </c>
      <c r="T9" s="55">
        <f>sum(N8:P14)</f>
        <v>0</v>
      </c>
    </row>
    <row r="10">
      <c r="A10" s="49">
        <v>46176.0</v>
      </c>
      <c r="B10" s="50">
        <v>50.0</v>
      </c>
      <c r="C10" s="50" t="s">
        <v>180</v>
      </c>
      <c r="D10" s="50" t="s">
        <v>180</v>
      </c>
      <c r="E10" s="50" t="s">
        <v>180</v>
      </c>
      <c r="F10" s="50" t="s">
        <v>180</v>
      </c>
      <c r="G10" s="50" t="s">
        <v>180</v>
      </c>
      <c r="J10" s="52">
        <v>46183.0</v>
      </c>
      <c r="K10" s="53" t="s">
        <v>180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0</v>
      </c>
      <c r="T10" s="55">
        <f>sum(E18:G24)</f>
        <v>0</v>
      </c>
    </row>
    <row r="11">
      <c r="A11" s="49">
        <v>46177.0</v>
      </c>
      <c r="B11" s="50">
        <v>115.35</v>
      </c>
      <c r="C11" s="50" t="s">
        <v>180</v>
      </c>
      <c r="D11" s="50" t="s">
        <v>180</v>
      </c>
      <c r="E11" s="50">
        <v>15.08</v>
      </c>
      <c r="F11" s="50" t="s">
        <v>180</v>
      </c>
      <c r="G11" s="50" t="s">
        <v>180</v>
      </c>
      <c r="J11" s="52">
        <v>46184.0</v>
      </c>
      <c r="K11" s="53" t="s">
        <v>180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0</v>
      </c>
      <c r="T11" s="55">
        <f>sum(N18:P24)</f>
        <v>0</v>
      </c>
    </row>
    <row r="12">
      <c r="A12" s="49">
        <v>46178.0</v>
      </c>
      <c r="B12" s="50" t="s">
        <v>180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46185.0</v>
      </c>
      <c r="K12" s="53" t="s">
        <v>180</v>
      </c>
      <c r="L12" s="53" t="s">
        <v>180</v>
      </c>
      <c r="M12" s="53" t="s">
        <v>180</v>
      </c>
      <c r="N12" s="53" t="s">
        <v>180</v>
      </c>
      <c r="O12" s="53" t="s">
        <v>180</v>
      </c>
      <c r="P12" s="53" t="s">
        <v>180</v>
      </c>
      <c r="Q12" s="45"/>
      <c r="S12" s="55">
        <f>sum(B29:D30)</f>
        <v>0</v>
      </c>
      <c r="T12" s="55">
        <f>sum(E29:G30)</f>
        <v>0</v>
      </c>
    </row>
    <row r="13">
      <c r="A13" s="49">
        <v>46179.0</v>
      </c>
      <c r="B13" s="50" t="s">
        <v>180</v>
      </c>
      <c r="C13" s="50" t="s">
        <v>180</v>
      </c>
      <c r="D13" s="50" t="s">
        <v>180</v>
      </c>
      <c r="E13" s="50">
        <v>32.0</v>
      </c>
      <c r="F13" s="50" t="s">
        <v>180</v>
      </c>
      <c r="G13" s="50" t="s">
        <v>180</v>
      </c>
      <c r="J13" s="52">
        <v>46186.0</v>
      </c>
      <c r="K13" s="53" t="s">
        <v>180</v>
      </c>
      <c r="L13" s="53" t="s">
        <v>180</v>
      </c>
      <c r="M13" s="53" t="s">
        <v>180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46180.0</v>
      </c>
      <c r="B14" s="50" t="s">
        <v>180</v>
      </c>
      <c r="C14" s="50" t="s">
        <v>180</v>
      </c>
      <c r="D14" s="50" t="s">
        <v>180</v>
      </c>
      <c r="E14" s="50" t="s">
        <v>180</v>
      </c>
      <c r="F14" s="50" t="s">
        <v>180</v>
      </c>
      <c r="G14" s="50" t="s">
        <v>180</v>
      </c>
      <c r="J14" s="52">
        <v>46187.0</v>
      </c>
      <c r="K14" s="53" t="s">
        <v>180</v>
      </c>
      <c r="L14" s="53" t="s">
        <v>180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5">
      <c r="B15" s="20"/>
      <c r="C15" s="20"/>
      <c r="D15" s="20"/>
      <c r="E15" s="20"/>
      <c r="F15" s="20"/>
      <c r="G15" s="20"/>
      <c r="K15" s="20"/>
      <c r="L15" s="20"/>
      <c r="M15" s="20"/>
      <c r="N15" s="20"/>
      <c r="O15" s="20"/>
      <c r="P15" s="20"/>
    </row>
    <row r="16">
      <c r="A16" s="43" t="s">
        <v>182</v>
      </c>
      <c r="B16" s="64"/>
      <c r="C16" s="64"/>
      <c r="D16" s="64"/>
      <c r="E16" s="64"/>
      <c r="F16" s="64"/>
      <c r="G16" s="64"/>
      <c r="H16" s="45"/>
      <c r="J16" s="43" t="s">
        <v>183</v>
      </c>
      <c r="K16" s="64"/>
      <c r="L16" s="64"/>
      <c r="M16" s="64"/>
      <c r="N16" s="64"/>
      <c r="O16" s="64"/>
      <c r="P16" s="64"/>
      <c r="Q16" s="45"/>
    </row>
    <row r="17">
      <c r="A17" s="42" t="s">
        <v>10</v>
      </c>
      <c r="B17" s="65"/>
      <c r="C17" s="65"/>
      <c r="D17" s="65"/>
      <c r="E17" s="65"/>
      <c r="F17" s="65"/>
      <c r="G17" s="65"/>
      <c r="H17" s="44"/>
      <c r="J17" s="42" t="s">
        <v>10</v>
      </c>
      <c r="K17" s="65"/>
      <c r="L17" s="65"/>
      <c r="M17" s="65"/>
      <c r="N17" s="65"/>
      <c r="O17" s="65"/>
      <c r="P17" s="65"/>
      <c r="Q17" s="44"/>
    </row>
    <row r="18">
      <c r="A18" s="52">
        <v>46188.0</v>
      </c>
      <c r="B18" s="53" t="s">
        <v>180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46195.0</v>
      </c>
      <c r="K18" s="59" t="s">
        <v>180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46189.0</v>
      </c>
      <c r="B19" s="53" t="s">
        <v>180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0</v>
      </c>
      <c r="J19" s="52">
        <v>46196.0</v>
      </c>
      <c r="K19" s="59" t="s">
        <v>180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0</v>
      </c>
    </row>
    <row r="20">
      <c r="A20" s="52">
        <v>46190.0</v>
      </c>
      <c r="B20" s="53" t="s">
        <v>180</v>
      </c>
      <c r="C20" s="53" t="s">
        <v>180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46197.0</v>
      </c>
      <c r="K20" s="59" t="s">
        <v>180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46191.0</v>
      </c>
      <c r="B21" s="53" t="s">
        <v>180</v>
      </c>
      <c r="C21" s="53" t="s">
        <v>180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46198.0</v>
      </c>
      <c r="K21" s="59" t="s">
        <v>180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46192.0</v>
      </c>
      <c r="B22" s="53" t="s">
        <v>180</v>
      </c>
      <c r="C22" s="53" t="s">
        <v>180</v>
      </c>
      <c r="D22" s="53" t="s">
        <v>180</v>
      </c>
      <c r="E22" s="53" t="s">
        <v>180</v>
      </c>
      <c r="F22" s="53" t="s">
        <v>180</v>
      </c>
      <c r="G22" s="53" t="s">
        <v>180</v>
      </c>
      <c r="H22" s="45"/>
      <c r="J22" s="52">
        <v>46199.0</v>
      </c>
      <c r="K22" s="59" t="s">
        <v>180</v>
      </c>
      <c r="L22" s="59" t="s">
        <v>180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46193.0</v>
      </c>
      <c r="B23" s="53" t="s">
        <v>180</v>
      </c>
      <c r="C23" s="53" t="s">
        <v>180</v>
      </c>
      <c r="D23" s="53" t="s">
        <v>180</v>
      </c>
      <c r="E23" s="53" t="s">
        <v>180</v>
      </c>
      <c r="F23" s="53" t="s">
        <v>180</v>
      </c>
      <c r="G23" s="53" t="s">
        <v>180</v>
      </c>
      <c r="H23" s="45"/>
      <c r="J23" s="52">
        <v>46200.0</v>
      </c>
      <c r="K23" s="59" t="s">
        <v>180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46194.0</v>
      </c>
      <c r="B24" s="53" t="s">
        <v>180</v>
      </c>
      <c r="C24" s="53" t="s">
        <v>180</v>
      </c>
      <c r="D24" s="53" t="s">
        <v>180</v>
      </c>
      <c r="E24" s="53" t="s">
        <v>180</v>
      </c>
      <c r="F24" s="53" t="s">
        <v>180</v>
      </c>
      <c r="G24" s="53" t="s">
        <v>180</v>
      </c>
      <c r="H24" s="45"/>
      <c r="J24" s="52">
        <v>46201.0</v>
      </c>
      <c r="K24" s="59" t="s">
        <v>180</v>
      </c>
      <c r="L24" s="59" t="s">
        <v>180</v>
      </c>
      <c r="M24" s="59" t="s">
        <v>180</v>
      </c>
      <c r="N24" s="59" t="s">
        <v>180</v>
      </c>
      <c r="O24" s="59" t="s">
        <v>180</v>
      </c>
      <c r="P24" s="59" t="s">
        <v>180</v>
      </c>
      <c r="Q24" s="45"/>
    </row>
    <row r="25">
      <c r="B25" s="20"/>
      <c r="C25" s="20"/>
      <c r="D25" s="20"/>
      <c r="E25" s="20"/>
      <c r="F25" s="20"/>
      <c r="G25" s="20"/>
    </row>
    <row r="26">
      <c r="B26" s="20"/>
      <c r="C26" s="20"/>
      <c r="D26" s="20"/>
      <c r="E26" s="20"/>
      <c r="F26" s="20"/>
      <c r="G26" s="20"/>
    </row>
    <row r="27">
      <c r="A27" s="43" t="s">
        <v>184</v>
      </c>
      <c r="B27" s="64"/>
      <c r="C27" s="64"/>
      <c r="D27" s="64"/>
      <c r="E27" s="64"/>
      <c r="F27" s="64"/>
      <c r="G27" s="64"/>
      <c r="H27" s="45"/>
      <c r="J27" s="62" t="s">
        <v>185</v>
      </c>
    </row>
    <row r="28">
      <c r="A28" s="42" t="s">
        <v>10</v>
      </c>
      <c r="B28" s="65"/>
      <c r="C28" s="65"/>
      <c r="D28" s="65"/>
      <c r="E28" s="65"/>
      <c r="F28" s="65"/>
      <c r="G28" s="65"/>
      <c r="H28" s="44"/>
      <c r="J28" s="63">
        <f>sum(H9,H19,H30,Q19,Q9)</f>
        <v>-105.02</v>
      </c>
    </row>
    <row r="29">
      <c r="A29" s="52">
        <v>46202.0</v>
      </c>
      <c r="B29" s="53" t="s">
        <v>180</v>
      </c>
      <c r="C29" s="53" t="s">
        <v>180</v>
      </c>
      <c r="D29" s="53" t="s">
        <v>180</v>
      </c>
      <c r="E29" s="53" t="s">
        <v>180</v>
      </c>
      <c r="F29" s="53" t="s">
        <v>180</v>
      </c>
      <c r="G29" s="53" t="s">
        <v>180</v>
      </c>
      <c r="H29" s="54" t="s">
        <v>181</v>
      </c>
    </row>
    <row r="30">
      <c r="A30" s="52">
        <v>46203.0</v>
      </c>
      <c r="B30" s="53" t="s">
        <v>180</v>
      </c>
      <c r="C30" s="53" t="s">
        <v>180</v>
      </c>
      <c r="D30" s="53" t="s">
        <v>180</v>
      </c>
      <c r="E30" s="53" t="s">
        <v>180</v>
      </c>
      <c r="F30" s="53" t="s">
        <v>180</v>
      </c>
      <c r="G30" s="53" t="s">
        <v>180</v>
      </c>
      <c r="H30" s="57">
        <f>T12-S12</f>
        <v>0</v>
      </c>
    </row>
    <row r="31">
      <c r="A31" s="45"/>
      <c r="B31" s="45"/>
      <c r="C31" s="45"/>
      <c r="D31" s="45"/>
      <c r="E31" s="45"/>
      <c r="F31" s="45"/>
      <c r="G31" s="45"/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</sheetData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7" max="7" width="12.75"/>
    <col customWidth="1" min="8" max="8" width="15.38"/>
    <col customWidth="1" min="17" max="17" width="14.63"/>
  </cols>
  <sheetData>
    <row r="6">
      <c r="A6" s="42" t="s">
        <v>178</v>
      </c>
      <c r="J6" s="43" t="s">
        <v>179</v>
      </c>
      <c r="K6" s="44"/>
      <c r="L6" s="44"/>
      <c r="M6" s="44"/>
      <c r="N6" s="44"/>
      <c r="O6" s="44"/>
      <c r="P6" s="44"/>
      <c r="Q6" s="45"/>
    </row>
    <row r="7">
      <c r="A7" s="42" t="s">
        <v>10</v>
      </c>
      <c r="B7" s="46"/>
      <c r="C7" s="46"/>
      <c r="D7" s="46"/>
      <c r="E7" s="46"/>
      <c r="F7" s="46"/>
      <c r="G7" s="46"/>
      <c r="J7" s="42" t="s">
        <v>10</v>
      </c>
      <c r="K7" s="48"/>
      <c r="L7" s="48"/>
      <c r="M7" s="48"/>
      <c r="N7" s="48"/>
      <c r="O7" s="48"/>
      <c r="P7" s="48"/>
      <c r="Q7" s="44"/>
    </row>
    <row r="8">
      <c r="A8" s="49">
        <v>46174.0</v>
      </c>
      <c r="B8" s="50" t="s">
        <v>180</v>
      </c>
      <c r="C8" s="50" t="s">
        <v>180</v>
      </c>
      <c r="D8" s="50" t="s">
        <v>180</v>
      </c>
      <c r="E8" s="50" t="s">
        <v>180</v>
      </c>
      <c r="F8" s="50" t="s">
        <v>180</v>
      </c>
      <c r="G8" s="50" t="s">
        <v>180</v>
      </c>
      <c r="H8" s="51" t="s">
        <v>181</v>
      </c>
      <c r="J8" s="52">
        <v>46030.0</v>
      </c>
      <c r="K8" s="53" t="s">
        <v>180</v>
      </c>
      <c r="L8" s="53" t="s">
        <v>180</v>
      </c>
      <c r="M8" s="53" t="s">
        <v>180</v>
      </c>
      <c r="N8" s="53" t="s">
        <v>180</v>
      </c>
      <c r="O8" s="53" t="s">
        <v>180</v>
      </c>
      <c r="P8" s="53" t="s">
        <v>180</v>
      </c>
      <c r="Q8" s="54" t="s">
        <v>181</v>
      </c>
      <c r="S8" s="55">
        <f>SUM(B8:D14)</f>
        <v>0</v>
      </c>
      <c r="T8" s="55">
        <f>SUM(E8:G14)</f>
        <v>0</v>
      </c>
    </row>
    <row r="9">
      <c r="A9" s="49">
        <v>46175.0</v>
      </c>
      <c r="B9" s="50" t="s">
        <v>180</v>
      </c>
      <c r="C9" s="50" t="s">
        <v>180</v>
      </c>
      <c r="D9" s="50" t="s">
        <v>180</v>
      </c>
      <c r="E9" s="50" t="s">
        <v>180</v>
      </c>
      <c r="F9" s="50" t="s">
        <v>180</v>
      </c>
      <c r="G9" s="50" t="s">
        <v>180</v>
      </c>
      <c r="H9" s="56">
        <f>T8-S8</f>
        <v>0</v>
      </c>
      <c r="J9" s="52">
        <v>46031.0</v>
      </c>
      <c r="K9" s="53" t="s">
        <v>180</v>
      </c>
      <c r="L9" s="53" t="s">
        <v>180</v>
      </c>
      <c r="M9" s="53" t="s">
        <v>180</v>
      </c>
      <c r="N9" s="53" t="s">
        <v>180</v>
      </c>
      <c r="O9" s="53" t="s">
        <v>180</v>
      </c>
      <c r="P9" s="53" t="s">
        <v>180</v>
      </c>
      <c r="Q9" s="57">
        <f>T9-S9</f>
        <v>0</v>
      </c>
      <c r="S9" s="55">
        <f>SUM(K8:M14)</f>
        <v>0</v>
      </c>
      <c r="T9" s="55">
        <f>sum(N8:P14)</f>
        <v>0</v>
      </c>
    </row>
    <row r="10">
      <c r="A10" s="49">
        <v>46176.0</v>
      </c>
      <c r="B10" s="50" t="s">
        <v>180</v>
      </c>
      <c r="C10" s="50" t="s">
        <v>180</v>
      </c>
      <c r="D10" s="50" t="s">
        <v>180</v>
      </c>
      <c r="E10" s="50" t="s">
        <v>180</v>
      </c>
      <c r="F10" s="50" t="s">
        <v>180</v>
      </c>
      <c r="G10" s="50" t="s">
        <v>180</v>
      </c>
      <c r="J10" s="52">
        <v>46032.0</v>
      </c>
      <c r="K10" s="53" t="s">
        <v>180</v>
      </c>
      <c r="L10" s="53" t="s">
        <v>180</v>
      </c>
      <c r="M10" s="53" t="s">
        <v>180</v>
      </c>
      <c r="N10" s="53" t="s">
        <v>180</v>
      </c>
      <c r="O10" s="53" t="s">
        <v>180</v>
      </c>
      <c r="P10" s="53" t="s">
        <v>180</v>
      </c>
      <c r="Q10" s="45"/>
      <c r="S10" s="55">
        <f>sum(B18:D24)</f>
        <v>0</v>
      </c>
      <c r="T10" s="55">
        <f>sum(E18:G24)</f>
        <v>0</v>
      </c>
    </row>
    <row r="11">
      <c r="A11" s="49">
        <v>46177.0</v>
      </c>
      <c r="B11" s="50" t="s">
        <v>180</v>
      </c>
      <c r="C11" s="50" t="s">
        <v>180</v>
      </c>
      <c r="D11" s="50" t="s">
        <v>180</v>
      </c>
      <c r="E11" s="50" t="s">
        <v>180</v>
      </c>
      <c r="F11" s="50" t="s">
        <v>180</v>
      </c>
      <c r="G11" s="50" t="s">
        <v>180</v>
      </c>
      <c r="J11" s="52">
        <v>46033.0</v>
      </c>
      <c r="K11" s="53" t="s">
        <v>180</v>
      </c>
      <c r="L11" s="53" t="s">
        <v>180</v>
      </c>
      <c r="M11" s="53" t="s">
        <v>180</v>
      </c>
      <c r="N11" s="53" t="s">
        <v>180</v>
      </c>
      <c r="O11" s="53" t="s">
        <v>180</v>
      </c>
      <c r="P11" s="53" t="s">
        <v>180</v>
      </c>
      <c r="Q11" s="45"/>
      <c r="S11" s="55">
        <f>sum(K18:M24)</f>
        <v>0</v>
      </c>
      <c r="T11" s="55">
        <f>sum(N18:P24)</f>
        <v>0</v>
      </c>
    </row>
    <row r="12">
      <c r="A12" s="49">
        <v>46178.0</v>
      </c>
      <c r="B12" s="50" t="s">
        <v>180</v>
      </c>
      <c r="C12" s="50" t="s">
        <v>180</v>
      </c>
      <c r="D12" s="50" t="s">
        <v>180</v>
      </c>
      <c r="E12" s="50" t="s">
        <v>180</v>
      </c>
      <c r="F12" s="50" t="s">
        <v>180</v>
      </c>
      <c r="G12" s="50" t="s">
        <v>180</v>
      </c>
      <c r="J12" s="52">
        <v>46034.0</v>
      </c>
      <c r="K12" s="53" t="s">
        <v>180</v>
      </c>
      <c r="L12" s="53" t="s">
        <v>180</v>
      </c>
      <c r="M12" s="53" t="s">
        <v>180</v>
      </c>
      <c r="N12" s="53" t="s">
        <v>180</v>
      </c>
      <c r="O12" s="53" t="s">
        <v>180</v>
      </c>
      <c r="P12" s="53" t="s">
        <v>180</v>
      </c>
      <c r="Q12" s="45"/>
      <c r="S12" s="55">
        <f>sum(B29:D31)</f>
        <v>0</v>
      </c>
      <c r="T12" s="55">
        <f>sum(E29:G31)</f>
        <v>0</v>
      </c>
    </row>
    <row r="13">
      <c r="A13" s="49">
        <v>46179.0</v>
      </c>
      <c r="B13" s="50" t="s">
        <v>180</v>
      </c>
      <c r="C13" s="50" t="s">
        <v>180</v>
      </c>
      <c r="D13" s="50" t="s">
        <v>180</v>
      </c>
      <c r="E13" s="50" t="s">
        <v>180</v>
      </c>
      <c r="F13" s="50" t="s">
        <v>180</v>
      </c>
      <c r="G13" s="50" t="s">
        <v>180</v>
      </c>
      <c r="J13" s="52">
        <v>46035.0</v>
      </c>
      <c r="K13" s="53" t="s">
        <v>180</v>
      </c>
      <c r="L13" s="53" t="s">
        <v>180</v>
      </c>
      <c r="M13" s="53" t="s">
        <v>180</v>
      </c>
      <c r="N13" s="53" t="s">
        <v>180</v>
      </c>
      <c r="O13" s="53" t="s">
        <v>180</v>
      </c>
      <c r="P13" s="53" t="s">
        <v>180</v>
      </c>
      <c r="Q13" s="45"/>
    </row>
    <row r="14">
      <c r="A14" s="49">
        <v>46180.0</v>
      </c>
      <c r="B14" s="50" t="s">
        <v>180</v>
      </c>
      <c r="C14" s="50" t="s">
        <v>180</v>
      </c>
      <c r="D14" s="50" t="s">
        <v>180</v>
      </c>
      <c r="E14" s="50" t="s">
        <v>180</v>
      </c>
      <c r="F14" s="50" t="s">
        <v>180</v>
      </c>
      <c r="G14" s="50" t="s">
        <v>180</v>
      </c>
      <c r="J14" s="52">
        <v>46036.0</v>
      </c>
      <c r="K14" s="53" t="s">
        <v>180</v>
      </c>
      <c r="L14" s="53" t="s">
        <v>180</v>
      </c>
      <c r="M14" s="53" t="s">
        <v>180</v>
      </c>
      <c r="N14" s="53" t="s">
        <v>180</v>
      </c>
      <c r="O14" s="53" t="s">
        <v>180</v>
      </c>
      <c r="P14" s="53" t="s">
        <v>180</v>
      </c>
      <c r="Q14" s="45"/>
    </row>
    <row r="15">
      <c r="B15" s="20"/>
      <c r="C15" s="20"/>
      <c r="D15" s="20"/>
      <c r="E15" s="20"/>
      <c r="F15" s="20"/>
      <c r="G15" s="20"/>
      <c r="K15" s="20"/>
      <c r="L15" s="20"/>
      <c r="M15" s="20"/>
      <c r="N15" s="20"/>
      <c r="O15" s="20"/>
      <c r="P15" s="20"/>
    </row>
    <row r="16">
      <c r="A16" s="43" t="s">
        <v>182</v>
      </c>
      <c r="B16" s="64"/>
      <c r="C16" s="64"/>
      <c r="D16" s="64"/>
      <c r="E16" s="64"/>
      <c r="F16" s="64"/>
      <c r="G16" s="64"/>
      <c r="H16" s="45"/>
      <c r="J16" s="43" t="s">
        <v>183</v>
      </c>
      <c r="K16" s="64"/>
      <c r="L16" s="64"/>
      <c r="M16" s="64"/>
      <c r="N16" s="64"/>
      <c r="O16" s="64"/>
      <c r="P16" s="64"/>
      <c r="Q16" s="45"/>
    </row>
    <row r="17">
      <c r="A17" s="42" t="s">
        <v>10</v>
      </c>
      <c r="B17" s="65"/>
      <c r="C17" s="65"/>
      <c r="D17" s="65"/>
      <c r="E17" s="65"/>
      <c r="F17" s="65"/>
      <c r="G17" s="65"/>
      <c r="H17" s="44"/>
      <c r="J17" s="42" t="s">
        <v>10</v>
      </c>
      <c r="K17" s="65"/>
      <c r="L17" s="65"/>
      <c r="M17" s="65"/>
      <c r="N17" s="65"/>
      <c r="O17" s="65"/>
      <c r="P17" s="65"/>
      <c r="Q17" s="44"/>
    </row>
    <row r="18">
      <c r="A18" s="52">
        <v>46037.0</v>
      </c>
      <c r="B18" s="53" t="s">
        <v>180</v>
      </c>
      <c r="C18" s="53" t="s">
        <v>180</v>
      </c>
      <c r="D18" s="53" t="s">
        <v>180</v>
      </c>
      <c r="E18" s="53" t="s">
        <v>180</v>
      </c>
      <c r="F18" s="53" t="s">
        <v>180</v>
      </c>
      <c r="G18" s="53" t="s">
        <v>180</v>
      </c>
      <c r="H18" s="54" t="s">
        <v>181</v>
      </c>
      <c r="J18" s="52">
        <v>46044.0</v>
      </c>
      <c r="K18" s="59" t="s">
        <v>180</v>
      </c>
      <c r="L18" s="59" t="s">
        <v>180</v>
      </c>
      <c r="M18" s="59" t="s">
        <v>180</v>
      </c>
      <c r="N18" s="59" t="s">
        <v>180</v>
      </c>
      <c r="O18" s="59" t="s">
        <v>180</v>
      </c>
      <c r="P18" s="59" t="s">
        <v>180</v>
      </c>
      <c r="Q18" s="60" t="s">
        <v>181</v>
      </c>
    </row>
    <row r="19">
      <c r="A19" s="52">
        <v>46038.0</v>
      </c>
      <c r="B19" s="53" t="s">
        <v>180</v>
      </c>
      <c r="C19" s="53" t="s">
        <v>180</v>
      </c>
      <c r="D19" s="53" t="s">
        <v>180</v>
      </c>
      <c r="E19" s="53" t="s">
        <v>180</v>
      </c>
      <c r="F19" s="53" t="s">
        <v>180</v>
      </c>
      <c r="G19" s="53" t="s">
        <v>180</v>
      </c>
      <c r="H19" s="57">
        <f>T10-S10</f>
        <v>0</v>
      </c>
      <c r="J19" s="52">
        <v>46045.0</v>
      </c>
      <c r="K19" s="59" t="s">
        <v>180</v>
      </c>
      <c r="L19" s="59" t="s">
        <v>180</v>
      </c>
      <c r="M19" s="59" t="s">
        <v>180</v>
      </c>
      <c r="N19" s="59" t="s">
        <v>180</v>
      </c>
      <c r="O19" s="59" t="s">
        <v>180</v>
      </c>
      <c r="P19" s="59" t="s">
        <v>180</v>
      </c>
      <c r="Q19" s="61">
        <f>T11-S11</f>
        <v>0</v>
      </c>
    </row>
    <row r="20">
      <c r="A20" s="52">
        <v>46039.0</v>
      </c>
      <c r="B20" s="53" t="s">
        <v>180</v>
      </c>
      <c r="C20" s="53" t="s">
        <v>180</v>
      </c>
      <c r="D20" s="53" t="s">
        <v>180</v>
      </c>
      <c r="E20" s="53" t="s">
        <v>180</v>
      </c>
      <c r="F20" s="53" t="s">
        <v>180</v>
      </c>
      <c r="G20" s="53" t="s">
        <v>180</v>
      </c>
      <c r="H20" s="45"/>
      <c r="J20" s="52">
        <v>46046.0</v>
      </c>
      <c r="K20" s="59" t="s">
        <v>180</v>
      </c>
      <c r="L20" s="59" t="s">
        <v>180</v>
      </c>
      <c r="M20" s="59" t="s">
        <v>180</v>
      </c>
      <c r="N20" s="59" t="s">
        <v>180</v>
      </c>
      <c r="O20" s="59" t="s">
        <v>180</v>
      </c>
      <c r="P20" s="59" t="s">
        <v>180</v>
      </c>
      <c r="Q20" s="45"/>
    </row>
    <row r="21">
      <c r="A21" s="52">
        <v>46040.0</v>
      </c>
      <c r="B21" s="53" t="s">
        <v>180</v>
      </c>
      <c r="C21" s="53" t="s">
        <v>180</v>
      </c>
      <c r="D21" s="53" t="s">
        <v>180</v>
      </c>
      <c r="E21" s="53" t="s">
        <v>180</v>
      </c>
      <c r="F21" s="53" t="s">
        <v>180</v>
      </c>
      <c r="G21" s="53" t="s">
        <v>180</v>
      </c>
      <c r="H21" s="45"/>
      <c r="J21" s="52">
        <v>46047.0</v>
      </c>
      <c r="K21" s="59" t="s">
        <v>180</v>
      </c>
      <c r="L21" s="59" t="s">
        <v>180</v>
      </c>
      <c r="M21" s="59" t="s">
        <v>180</v>
      </c>
      <c r="N21" s="59" t="s">
        <v>180</v>
      </c>
      <c r="O21" s="59" t="s">
        <v>180</v>
      </c>
      <c r="P21" s="59" t="s">
        <v>180</v>
      </c>
      <c r="Q21" s="45"/>
    </row>
    <row r="22">
      <c r="A22" s="52">
        <v>46041.0</v>
      </c>
      <c r="B22" s="53" t="s">
        <v>180</v>
      </c>
      <c r="C22" s="53" t="s">
        <v>180</v>
      </c>
      <c r="D22" s="53" t="s">
        <v>180</v>
      </c>
      <c r="E22" s="53" t="s">
        <v>180</v>
      </c>
      <c r="F22" s="53" t="s">
        <v>180</v>
      </c>
      <c r="G22" s="53" t="s">
        <v>180</v>
      </c>
      <c r="H22" s="45"/>
      <c r="J22" s="52">
        <v>46048.0</v>
      </c>
      <c r="K22" s="59" t="s">
        <v>180</v>
      </c>
      <c r="L22" s="59" t="s">
        <v>180</v>
      </c>
      <c r="M22" s="59" t="s">
        <v>180</v>
      </c>
      <c r="N22" s="59" t="s">
        <v>180</v>
      </c>
      <c r="O22" s="59" t="s">
        <v>180</v>
      </c>
      <c r="P22" s="59" t="s">
        <v>180</v>
      </c>
      <c r="Q22" s="45"/>
    </row>
    <row r="23">
      <c r="A23" s="52">
        <v>46042.0</v>
      </c>
      <c r="B23" s="53" t="s">
        <v>180</v>
      </c>
      <c r="C23" s="53" t="s">
        <v>180</v>
      </c>
      <c r="D23" s="53" t="s">
        <v>180</v>
      </c>
      <c r="E23" s="53" t="s">
        <v>180</v>
      </c>
      <c r="F23" s="53" t="s">
        <v>180</v>
      </c>
      <c r="G23" s="53" t="s">
        <v>180</v>
      </c>
      <c r="H23" s="45"/>
      <c r="J23" s="52">
        <v>46049.0</v>
      </c>
      <c r="K23" s="59" t="s">
        <v>180</v>
      </c>
      <c r="L23" s="59" t="s">
        <v>180</v>
      </c>
      <c r="M23" s="59" t="s">
        <v>180</v>
      </c>
      <c r="N23" s="59" t="s">
        <v>180</v>
      </c>
      <c r="O23" s="59" t="s">
        <v>180</v>
      </c>
      <c r="P23" s="59" t="s">
        <v>180</v>
      </c>
      <c r="Q23" s="45"/>
    </row>
    <row r="24">
      <c r="A24" s="52">
        <v>46043.0</v>
      </c>
      <c r="B24" s="53" t="s">
        <v>180</v>
      </c>
      <c r="C24" s="53" t="s">
        <v>180</v>
      </c>
      <c r="D24" s="53" t="s">
        <v>180</v>
      </c>
      <c r="E24" s="53" t="s">
        <v>180</v>
      </c>
      <c r="F24" s="53" t="s">
        <v>180</v>
      </c>
      <c r="G24" s="53" t="s">
        <v>180</v>
      </c>
      <c r="H24" s="45"/>
      <c r="J24" s="52">
        <v>46050.0</v>
      </c>
      <c r="K24" s="59" t="s">
        <v>180</v>
      </c>
      <c r="L24" s="59" t="s">
        <v>180</v>
      </c>
      <c r="M24" s="59" t="s">
        <v>180</v>
      </c>
      <c r="N24" s="59" t="s">
        <v>180</v>
      </c>
      <c r="O24" s="59" t="s">
        <v>180</v>
      </c>
      <c r="P24" s="59" t="s">
        <v>180</v>
      </c>
      <c r="Q24" s="45"/>
    </row>
    <row r="25">
      <c r="B25" s="20"/>
      <c r="C25" s="20"/>
      <c r="D25" s="20"/>
      <c r="E25" s="20"/>
      <c r="F25" s="20"/>
      <c r="G25" s="20"/>
    </row>
    <row r="26">
      <c r="B26" s="20"/>
      <c r="C26" s="20"/>
      <c r="D26" s="20"/>
      <c r="E26" s="20"/>
      <c r="F26" s="20"/>
      <c r="G26" s="20"/>
    </row>
    <row r="27">
      <c r="A27" s="43" t="s">
        <v>184</v>
      </c>
      <c r="B27" s="64"/>
      <c r="C27" s="64"/>
      <c r="D27" s="64"/>
      <c r="E27" s="64"/>
      <c r="F27" s="64"/>
      <c r="G27" s="64"/>
      <c r="H27" s="45"/>
      <c r="J27" s="62" t="s">
        <v>185</v>
      </c>
    </row>
    <row r="28">
      <c r="A28" s="42" t="s">
        <v>10</v>
      </c>
      <c r="B28" s="65"/>
      <c r="C28" s="65"/>
      <c r="D28" s="65"/>
      <c r="E28" s="65"/>
      <c r="F28" s="65"/>
      <c r="G28" s="65"/>
      <c r="H28" s="44"/>
      <c r="J28" s="63">
        <f>sum(H9,H19,H30,Q19,Q9)</f>
        <v>0</v>
      </c>
    </row>
    <row r="29">
      <c r="A29" s="52">
        <v>46051.0</v>
      </c>
      <c r="B29" s="53" t="s">
        <v>180</v>
      </c>
      <c r="C29" s="53" t="s">
        <v>180</v>
      </c>
      <c r="D29" s="53" t="s">
        <v>180</v>
      </c>
      <c r="E29" s="53" t="s">
        <v>180</v>
      </c>
      <c r="F29" s="53" t="s">
        <v>180</v>
      </c>
      <c r="G29" s="53" t="s">
        <v>180</v>
      </c>
      <c r="H29" s="54" t="s">
        <v>181</v>
      </c>
    </row>
    <row r="30">
      <c r="A30" s="52">
        <v>46052.0</v>
      </c>
      <c r="B30" s="53" t="s">
        <v>180</v>
      </c>
      <c r="C30" s="53" t="s">
        <v>180</v>
      </c>
      <c r="D30" s="53" t="s">
        <v>180</v>
      </c>
      <c r="E30" s="53" t="s">
        <v>180</v>
      </c>
      <c r="F30" s="53" t="s">
        <v>180</v>
      </c>
      <c r="G30" s="53" t="s">
        <v>180</v>
      </c>
      <c r="H30" s="57">
        <f>T12-S12</f>
        <v>0</v>
      </c>
    </row>
    <row r="31">
      <c r="A31" s="52">
        <v>46053.0</v>
      </c>
      <c r="B31" s="53" t="s">
        <v>180</v>
      </c>
      <c r="C31" s="53" t="s">
        <v>180</v>
      </c>
      <c r="D31" s="53" t="s">
        <v>180</v>
      </c>
      <c r="E31" s="53" t="s">
        <v>180</v>
      </c>
      <c r="F31" s="53" t="s">
        <v>180</v>
      </c>
      <c r="G31" s="53" t="s">
        <v>180</v>
      </c>
      <c r="H31" s="45"/>
    </row>
    <row r="32">
      <c r="A32" s="45"/>
      <c r="B32" s="45"/>
      <c r="C32" s="45"/>
      <c r="D32" s="45"/>
      <c r="E32" s="45"/>
      <c r="F32" s="45"/>
      <c r="G32" s="45"/>
      <c r="H32" s="45"/>
    </row>
    <row r="33">
      <c r="A33" s="45"/>
      <c r="B33" s="45"/>
      <c r="C33" s="45"/>
      <c r="D33" s="45"/>
      <c r="E33" s="45"/>
      <c r="F33" s="45"/>
      <c r="G33" s="45"/>
      <c r="H33" s="45"/>
    </row>
    <row r="34">
      <c r="A34" s="45"/>
      <c r="B34" s="45"/>
      <c r="C34" s="45"/>
      <c r="D34" s="45"/>
      <c r="E34" s="45"/>
      <c r="F34" s="45"/>
      <c r="G34" s="45"/>
      <c r="H34" s="45"/>
    </row>
    <row r="35">
      <c r="A35" s="45"/>
      <c r="B35" s="45"/>
      <c r="C35" s="45"/>
      <c r="D35" s="45"/>
      <c r="E35" s="45"/>
      <c r="F35" s="45"/>
      <c r="G35" s="45"/>
      <c r="H35" s="4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17" max="17" width="20.88"/>
  </cols>
  <sheetData>
    <row r="6">
      <c r="A6" s="66" t="s">
        <v>186</v>
      </c>
      <c r="B6" s="66" t="s">
        <v>187</v>
      </c>
      <c r="C6" s="66" t="s">
        <v>188</v>
      </c>
      <c r="D6" s="66" t="s">
        <v>189</v>
      </c>
      <c r="E6" s="66" t="s">
        <v>190</v>
      </c>
      <c r="M6" s="66" t="s">
        <v>186</v>
      </c>
      <c r="N6" s="66" t="s">
        <v>187</v>
      </c>
      <c r="O6" s="66" t="s">
        <v>191</v>
      </c>
      <c r="P6" s="66" t="s">
        <v>189</v>
      </c>
      <c r="Q6" s="66" t="s">
        <v>190</v>
      </c>
    </row>
    <row r="7">
      <c r="A7" s="67">
        <v>45748.0</v>
      </c>
      <c r="B7" s="31" t="s">
        <v>124</v>
      </c>
      <c r="C7" s="40" t="s">
        <v>180</v>
      </c>
      <c r="D7" s="40" t="s">
        <v>180</v>
      </c>
      <c r="E7" s="40" t="s">
        <v>180</v>
      </c>
      <c r="F7" s="68"/>
      <c r="G7" s="69">
        <f>K9-K8</f>
        <v>1148.67</v>
      </c>
      <c r="H7" s="66" t="s">
        <v>169</v>
      </c>
      <c r="I7" s="66" t="s">
        <v>170</v>
      </c>
      <c r="J7" s="66" t="s">
        <v>171</v>
      </c>
      <c r="K7" s="66" t="s">
        <v>172</v>
      </c>
      <c r="M7" s="67">
        <v>45748.0</v>
      </c>
      <c r="N7" s="31" t="s">
        <v>124</v>
      </c>
      <c r="O7" s="40" t="s">
        <v>180</v>
      </c>
      <c r="P7" s="40" t="s">
        <v>180</v>
      </c>
      <c r="Q7" s="40" t="s">
        <v>180</v>
      </c>
    </row>
    <row r="8">
      <c r="A8" s="67">
        <v>45749.0</v>
      </c>
      <c r="B8" s="31" t="s">
        <v>26</v>
      </c>
      <c r="C8" s="40">
        <v>132.98</v>
      </c>
      <c r="D8" s="40" t="s">
        <v>169</v>
      </c>
      <c r="E8" s="40" t="s">
        <v>192</v>
      </c>
      <c r="G8" s="70" t="s">
        <v>1</v>
      </c>
      <c r="H8" s="35">
        <f>SUMIF(D7:D41,"Pix",C7:C41)</f>
        <v>832.98</v>
      </c>
      <c r="I8" s="35">
        <f>SUMIF(D7:D41,"Dinheiro F",C7:C41)</f>
        <v>88</v>
      </c>
      <c r="J8" s="35">
        <f>SUMIF(D7:D41,"Cartão",C7:C41)</f>
        <v>444.35</v>
      </c>
      <c r="K8" s="40">
        <f t="shared" ref="K8:K9" si="1">SUM(H8:J8)</f>
        <v>1365.33</v>
      </c>
      <c r="M8" s="67">
        <v>45749.0</v>
      </c>
      <c r="N8" s="31" t="s">
        <v>26</v>
      </c>
      <c r="O8" s="40" t="s">
        <v>180</v>
      </c>
      <c r="P8" s="40" t="s">
        <v>180</v>
      </c>
      <c r="Q8" s="40" t="s">
        <v>180</v>
      </c>
    </row>
    <row r="9">
      <c r="A9" s="67">
        <v>45750.0</v>
      </c>
      <c r="B9" s="31" t="s">
        <v>27</v>
      </c>
      <c r="C9" s="40">
        <v>49.98</v>
      </c>
      <c r="D9" s="40" t="s">
        <v>171</v>
      </c>
      <c r="E9" s="40" t="s">
        <v>193</v>
      </c>
      <c r="G9" s="71" t="s">
        <v>2</v>
      </c>
      <c r="H9" s="40">
        <f>SUMIF(P7:P41,"Pix",O7:O41)</f>
        <v>150</v>
      </c>
      <c r="I9" s="35">
        <f>SUMIF(P7:P41,"Dinheiro F",O7:O41)</f>
        <v>230</v>
      </c>
      <c r="J9" s="35">
        <f>SUMIF(P7:P41,"Cartão",O7:O41)</f>
        <v>2134</v>
      </c>
      <c r="K9" s="40">
        <f t="shared" si="1"/>
        <v>2514</v>
      </c>
      <c r="M9" s="67">
        <v>45750.0</v>
      </c>
      <c r="N9" s="31" t="s">
        <v>27</v>
      </c>
      <c r="O9" s="40">
        <v>150.0</v>
      </c>
      <c r="P9" s="40" t="s">
        <v>170</v>
      </c>
      <c r="Q9" s="40" t="s">
        <v>194</v>
      </c>
    </row>
    <row r="10">
      <c r="A10" s="67">
        <v>45751.0</v>
      </c>
      <c r="B10" s="31" t="s">
        <v>17</v>
      </c>
      <c r="C10" s="40" t="s">
        <v>180</v>
      </c>
      <c r="D10" s="40" t="s">
        <v>180</v>
      </c>
      <c r="E10" s="40" t="s">
        <v>180</v>
      </c>
      <c r="M10" s="67">
        <v>45751.0</v>
      </c>
      <c r="N10" s="31" t="s">
        <v>17</v>
      </c>
      <c r="O10" s="40">
        <v>150.0</v>
      </c>
      <c r="P10" s="40" t="s">
        <v>169</v>
      </c>
      <c r="Q10" s="40" t="s">
        <v>195</v>
      </c>
    </row>
    <row r="11">
      <c r="A11" s="67">
        <v>45752.0</v>
      </c>
      <c r="B11" s="31" t="s">
        <v>19</v>
      </c>
      <c r="C11" s="40">
        <v>37.99</v>
      </c>
      <c r="D11" s="40" t="s">
        <v>171</v>
      </c>
      <c r="E11" s="40" t="s">
        <v>196</v>
      </c>
      <c r="M11" s="67">
        <v>45752.0</v>
      </c>
      <c r="N11" s="31" t="s">
        <v>19</v>
      </c>
      <c r="O11" s="40">
        <v>20.0</v>
      </c>
      <c r="P11" s="40" t="s">
        <v>170</v>
      </c>
      <c r="Q11" s="40" t="s">
        <v>119</v>
      </c>
    </row>
    <row r="12">
      <c r="A12" s="67">
        <v>45753.0</v>
      </c>
      <c r="B12" s="31" t="s">
        <v>21</v>
      </c>
      <c r="C12" s="40">
        <v>500.0</v>
      </c>
      <c r="D12" s="40" t="s">
        <v>169</v>
      </c>
      <c r="E12" s="40" t="s">
        <v>78</v>
      </c>
      <c r="M12" s="67">
        <v>45753.0</v>
      </c>
      <c r="N12" s="31" t="s">
        <v>21</v>
      </c>
      <c r="O12" s="40" t="s">
        <v>180</v>
      </c>
      <c r="P12" s="40" t="s">
        <v>180</v>
      </c>
      <c r="Q12" s="40" t="s">
        <v>180</v>
      </c>
    </row>
    <row r="13">
      <c r="A13" s="67">
        <v>45753.0</v>
      </c>
      <c r="B13" s="31" t="s">
        <v>21</v>
      </c>
      <c r="C13" s="40">
        <v>23.18</v>
      </c>
      <c r="D13" s="40" t="s">
        <v>171</v>
      </c>
      <c r="E13" s="40" t="s">
        <v>197</v>
      </c>
      <c r="M13" s="67">
        <v>45753.0</v>
      </c>
      <c r="N13" s="31" t="s">
        <v>21</v>
      </c>
      <c r="O13" s="40" t="s">
        <v>180</v>
      </c>
      <c r="P13" s="40" t="s">
        <v>180</v>
      </c>
      <c r="Q13" s="40" t="s">
        <v>180</v>
      </c>
    </row>
    <row r="14">
      <c r="A14" s="67">
        <v>45754.0</v>
      </c>
      <c r="B14" s="31" t="s">
        <v>23</v>
      </c>
      <c r="C14" s="40" t="s">
        <v>180</v>
      </c>
      <c r="D14" s="40" t="s">
        <v>180</v>
      </c>
      <c r="E14" s="40" t="s">
        <v>180</v>
      </c>
      <c r="M14" s="67">
        <v>45754.0</v>
      </c>
      <c r="N14" s="31" t="s">
        <v>23</v>
      </c>
      <c r="O14" s="40" t="s">
        <v>180</v>
      </c>
      <c r="P14" s="40" t="s">
        <v>180</v>
      </c>
      <c r="Q14" s="40" t="s">
        <v>180</v>
      </c>
    </row>
    <row r="15">
      <c r="A15" s="67">
        <v>45755.0</v>
      </c>
      <c r="B15" s="31" t="s">
        <v>25</v>
      </c>
      <c r="C15" s="40" t="s">
        <v>180</v>
      </c>
      <c r="D15" s="40" t="s">
        <v>180</v>
      </c>
      <c r="E15" s="40" t="s">
        <v>180</v>
      </c>
      <c r="M15" s="67">
        <v>45755.0</v>
      </c>
      <c r="N15" s="31" t="s">
        <v>25</v>
      </c>
      <c r="O15" s="40" t="s">
        <v>180</v>
      </c>
      <c r="P15" s="40" t="s">
        <v>180</v>
      </c>
      <c r="Q15" s="40" t="s">
        <v>180</v>
      </c>
    </row>
    <row r="16">
      <c r="A16" s="67">
        <v>45756.0</v>
      </c>
      <c r="B16" s="31" t="s">
        <v>26</v>
      </c>
      <c r="C16" s="40" t="s">
        <v>180</v>
      </c>
      <c r="D16" s="40" t="s">
        <v>180</v>
      </c>
      <c r="E16" s="40" t="s">
        <v>180</v>
      </c>
      <c r="M16" s="67">
        <v>45756.0</v>
      </c>
      <c r="N16" s="31" t="s">
        <v>26</v>
      </c>
      <c r="O16" s="40" t="s">
        <v>180</v>
      </c>
      <c r="P16" s="40" t="s">
        <v>180</v>
      </c>
      <c r="Q16" s="40" t="s">
        <v>180</v>
      </c>
    </row>
    <row r="17">
      <c r="A17" s="67">
        <v>45757.0</v>
      </c>
      <c r="B17" s="31" t="s">
        <v>27</v>
      </c>
      <c r="C17" s="40" t="s">
        <v>180</v>
      </c>
      <c r="D17" s="40" t="s">
        <v>180</v>
      </c>
      <c r="E17" s="40" t="s">
        <v>180</v>
      </c>
      <c r="M17" s="67">
        <v>45757.0</v>
      </c>
      <c r="N17" s="31" t="s">
        <v>27</v>
      </c>
      <c r="O17" s="40" t="s">
        <v>180</v>
      </c>
      <c r="P17" s="40" t="s">
        <v>180</v>
      </c>
      <c r="Q17" s="40" t="s">
        <v>180</v>
      </c>
    </row>
    <row r="18">
      <c r="A18" s="67">
        <v>45758.0</v>
      </c>
      <c r="B18" s="31" t="s">
        <v>17</v>
      </c>
      <c r="C18" s="40" t="s">
        <v>180</v>
      </c>
      <c r="D18" s="40" t="s">
        <v>180</v>
      </c>
      <c r="E18" s="40" t="s">
        <v>180</v>
      </c>
      <c r="M18" s="67">
        <v>45758.0</v>
      </c>
      <c r="N18" s="31" t="s">
        <v>17</v>
      </c>
      <c r="O18" s="40" t="s">
        <v>180</v>
      </c>
      <c r="P18" s="40" t="s">
        <v>180</v>
      </c>
      <c r="Q18" s="40" t="s">
        <v>180</v>
      </c>
    </row>
    <row r="19">
      <c r="A19" s="67">
        <v>45759.0</v>
      </c>
      <c r="B19" s="31" t="s">
        <v>19</v>
      </c>
      <c r="C19" s="40">
        <v>62.0</v>
      </c>
      <c r="D19" s="40" t="s">
        <v>171</v>
      </c>
      <c r="E19" s="40" t="s">
        <v>198</v>
      </c>
      <c r="M19" s="67">
        <v>45759.0</v>
      </c>
      <c r="N19" s="31" t="s">
        <v>19</v>
      </c>
      <c r="O19" s="40">
        <v>20.0</v>
      </c>
      <c r="P19" s="40" t="s">
        <v>170</v>
      </c>
      <c r="Q19" s="40" t="s">
        <v>119</v>
      </c>
    </row>
    <row r="20">
      <c r="A20" s="67">
        <v>45759.0</v>
      </c>
      <c r="B20" s="31" t="s">
        <v>19</v>
      </c>
      <c r="C20" s="40">
        <v>100.0</v>
      </c>
      <c r="D20" s="40" t="s">
        <v>169</v>
      </c>
      <c r="E20" s="40" t="s">
        <v>199</v>
      </c>
      <c r="M20" s="67">
        <v>45759.0</v>
      </c>
      <c r="N20" s="31" t="s">
        <v>19</v>
      </c>
      <c r="O20" s="40" t="s">
        <v>180</v>
      </c>
      <c r="P20" s="40" t="s">
        <v>180</v>
      </c>
      <c r="Q20" s="40" t="s">
        <v>180</v>
      </c>
    </row>
    <row r="21">
      <c r="A21" s="67">
        <v>45760.0</v>
      </c>
      <c r="B21" s="31" t="s">
        <v>21</v>
      </c>
      <c r="C21" s="40">
        <v>43.32</v>
      </c>
      <c r="D21" s="40" t="s">
        <v>171</v>
      </c>
      <c r="E21" s="40" t="s">
        <v>22</v>
      </c>
      <c r="M21" s="67">
        <v>45760.0</v>
      </c>
      <c r="N21" s="31" t="s">
        <v>21</v>
      </c>
      <c r="O21" s="40" t="s">
        <v>180</v>
      </c>
      <c r="P21" s="40" t="s">
        <v>180</v>
      </c>
      <c r="Q21" s="40" t="s">
        <v>180</v>
      </c>
    </row>
    <row r="22">
      <c r="A22" s="67">
        <v>45761.0</v>
      </c>
      <c r="B22" s="31" t="s">
        <v>23</v>
      </c>
      <c r="C22" s="40" t="s">
        <v>180</v>
      </c>
      <c r="D22" s="40" t="s">
        <v>180</v>
      </c>
      <c r="E22" s="40" t="s">
        <v>180</v>
      </c>
      <c r="M22" s="67">
        <v>45761.0</v>
      </c>
      <c r="N22" s="31" t="s">
        <v>23</v>
      </c>
      <c r="O22" s="40" t="s">
        <v>180</v>
      </c>
      <c r="P22" s="40" t="s">
        <v>180</v>
      </c>
      <c r="Q22" s="40" t="s">
        <v>180</v>
      </c>
    </row>
    <row r="23">
      <c r="A23" s="67">
        <v>45762.0</v>
      </c>
      <c r="B23" s="31" t="s">
        <v>25</v>
      </c>
      <c r="C23" s="40" t="s">
        <v>180</v>
      </c>
      <c r="D23" s="40" t="s">
        <v>180</v>
      </c>
      <c r="E23" s="40" t="s">
        <v>180</v>
      </c>
      <c r="M23" s="67">
        <v>45762.0</v>
      </c>
      <c r="N23" s="31" t="s">
        <v>25</v>
      </c>
      <c r="O23" s="40" t="s">
        <v>180</v>
      </c>
      <c r="P23" s="40" t="s">
        <v>180</v>
      </c>
      <c r="Q23" s="40" t="s">
        <v>180</v>
      </c>
    </row>
    <row r="24">
      <c r="A24" s="67">
        <v>45763.0</v>
      </c>
      <c r="B24" s="31" t="s">
        <v>26</v>
      </c>
      <c r="C24" s="40">
        <v>18.5</v>
      </c>
      <c r="D24" s="40" t="s">
        <v>170</v>
      </c>
      <c r="E24" s="40" t="s">
        <v>200</v>
      </c>
      <c r="M24" s="67">
        <v>45763.0</v>
      </c>
      <c r="N24" s="31" t="s">
        <v>26</v>
      </c>
      <c r="O24" s="40">
        <v>632.0</v>
      </c>
      <c r="P24" s="40" t="s">
        <v>171</v>
      </c>
      <c r="Q24" s="40" t="s">
        <v>133</v>
      </c>
    </row>
    <row r="25">
      <c r="A25" s="67">
        <v>45764.0</v>
      </c>
      <c r="B25" s="31" t="s">
        <v>27</v>
      </c>
      <c r="C25" s="40" t="s">
        <v>180</v>
      </c>
      <c r="D25" s="40" t="s">
        <v>180</v>
      </c>
      <c r="E25" s="40" t="s">
        <v>180</v>
      </c>
      <c r="M25" s="67">
        <v>45764.0</v>
      </c>
      <c r="N25" s="31" t="s">
        <v>27</v>
      </c>
      <c r="O25" s="40" t="s">
        <v>180</v>
      </c>
      <c r="P25" s="40" t="s">
        <v>180</v>
      </c>
      <c r="Q25" s="40" t="s">
        <v>180</v>
      </c>
    </row>
    <row r="26">
      <c r="A26" s="67">
        <v>45765.0</v>
      </c>
      <c r="B26" s="31" t="s">
        <v>17</v>
      </c>
      <c r="C26" s="40">
        <v>47.0</v>
      </c>
      <c r="D26" s="40" t="s">
        <v>170</v>
      </c>
      <c r="E26" s="40" t="s">
        <v>22</v>
      </c>
      <c r="M26" s="67">
        <v>45765.0</v>
      </c>
      <c r="N26" s="31" t="s">
        <v>17</v>
      </c>
      <c r="O26" s="40" t="s">
        <v>180</v>
      </c>
      <c r="P26" s="40" t="s">
        <v>180</v>
      </c>
      <c r="Q26" s="40" t="s">
        <v>180</v>
      </c>
    </row>
    <row r="27">
      <c r="A27" s="67">
        <v>45766.0</v>
      </c>
      <c r="B27" s="31" t="s">
        <v>19</v>
      </c>
      <c r="C27" s="40" t="s">
        <v>180</v>
      </c>
      <c r="D27" s="40" t="s">
        <v>180</v>
      </c>
      <c r="E27" s="40" t="s">
        <v>180</v>
      </c>
      <c r="M27" s="67">
        <v>45766.0</v>
      </c>
      <c r="N27" s="31" t="s">
        <v>19</v>
      </c>
      <c r="O27" s="40">
        <v>20.0</v>
      </c>
      <c r="P27" s="40" t="s">
        <v>170</v>
      </c>
      <c r="Q27" s="40" t="s">
        <v>119</v>
      </c>
    </row>
    <row r="28">
      <c r="A28" s="67">
        <v>45767.0</v>
      </c>
      <c r="B28" s="31" t="s">
        <v>21</v>
      </c>
      <c r="C28" s="40" t="s">
        <v>180</v>
      </c>
      <c r="D28" s="40" t="s">
        <v>180</v>
      </c>
      <c r="E28" s="40" t="s">
        <v>180</v>
      </c>
      <c r="M28" s="67">
        <v>45767.0</v>
      </c>
      <c r="N28" s="31" t="s">
        <v>21</v>
      </c>
      <c r="O28" s="40" t="s">
        <v>180</v>
      </c>
      <c r="P28" s="40" t="s">
        <v>180</v>
      </c>
      <c r="Q28" s="40" t="s">
        <v>180</v>
      </c>
    </row>
    <row r="29">
      <c r="A29" s="67">
        <v>45768.0</v>
      </c>
      <c r="B29" s="31" t="s">
        <v>23</v>
      </c>
      <c r="C29" s="40">
        <v>50.95</v>
      </c>
      <c r="D29" s="40" t="s">
        <v>171</v>
      </c>
      <c r="E29" s="40" t="s">
        <v>201</v>
      </c>
      <c r="M29" s="67">
        <v>45768.0</v>
      </c>
      <c r="N29" s="31" t="s">
        <v>23</v>
      </c>
      <c r="O29" s="40" t="s">
        <v>180</v>
      </c>
      <c r="P29" s="40" t="s">
        <v>180</v>
      </c>
      <c r="Q29" s="40" t="s">
        <v>180</v>
      </c>
    </row>
    <row r="30">
      <c r="A30" s="67">
        <v>45769.0</v>
      </c>
      <c r="B30" s="31" t="s">
        <v>25</v>
      </c>
      <c r="C30" s="40">
        <v>14.0</v>
      </c>
      <c r="D30" s="40" t="s">
        <v>170</v>
      </c>
      <c r="E30" s="40" t="s">
        <v>200</v>
      </c>
      <c r="M30" s="67">
        <v>45769.0</v>
      </c>
      <c r="N30" s="31" t="s">
        <v>25</v>
      </c>
      <c r="O30" s="40" t="s">
        <v>180</v>
      </c>
      <c r="P30" s="40" t="s">
        <v>180</v>
      </c>
      <c r="Q30" s="40" t="s">
        <v>180</v>
      </c>
    </row>
    <row r="31">
      <c r="A31" s="67">
        <v>45770.0</v>
      </c>
      <c r="B31" s="31" t="s">
        <v>26</v>
      </c>
      <c r="C31" s="40">
        <v>107.0</v>
      </c>
      <c r="D31" s="40" t="s">
        <v>171</v>
      </c>
      <c r="E31" s="40" t="s">
        <v>118</v>
      </c>
      <c r="M31" s="67">
        <v>45770.0</v>
      </c>
      <c r="N31" s="31" t="s">
        <v>26</v>
      </c>
      <c r="O31" s="40" t="s">
        <v>180</v>
      </c>
      <c r="P31" s="40" t="s">
        <v>180</v>
      </c>
      <c r="Q31" s="40" t="s">
        <v>180</v>
      </c>
    </row>
    <row r="32">
      <c r="A32" s="67">
        <v>45771.0</v>
      </c>
      <c r="B32" s="31" t="s">
        <v>27</v>
      </c>
      <c r="C32" s="40">
        <v>50.0</v>
      </c>
      <c r="D32" s="40" t="s">
        <v>169</v>
      </c>
      <c r="E32" s="40" t="s">
        <v>29</v>
      </c>
      <c r="M32" s="67">
        <v>45771.0</v>
      </c>
      <c r="N32" s="31" t="s">
        <v>27</v>
      </c>
      <c r="O32" s="40" t="s">
        <v>180</v>
      </c>
      <c r="P32" s="40" t="s">
        <v>180</v>
      </c>
      <c r="Q32" s="40" t="s">
        <v>180</v>
      </c>
    </row>
    <row r="33">
      <c r="A33" s="67">
        <v>45772.0</v>
      </c>
      <c r="B33" s="31" t="s">
        <v>17</v>
      </c>
      <c r="C33" s="40" t="s">
        <v>180</v>
      </c>
      <c r="D33" s="40" t="s">
        <v>180</v>
      </c>
      <c r="E33" s="40" t="s">
        <v>180</v>
      </c>
      <c r="M33" s="67">
        <v>45772.0</v>
      </c>
      <c r="N33" s="31" t="s">
        <v>17</v>
      </c>
      <c r="O33" s="40" t="s">
        <v>180</v>
      </c>
      <c r="P33" s="40" t="s">
        <v>180</v>
      </c>
      <c r="Q33" s="40" t="s">
        <v>180</v>
      </c>
    </row>
    <row r="34">
      <c r="A34" s="67">
        <v>45773.0</v>
      </c>
      <c r="B34" s="31" t="s">
        <v>19</v>
      </c>
      <c r="C34" s="40">
        <v>8.5</v>
      </c>
      <c r="D34" s="40" t="s">
        <v>170</v>
      </c>
      <c r="E34" s="40" t="s">
        <v>200</v>
      </c>
      <c r="M34" s="67">
        <v>45773.0</v>
      </c>
      <c r="N34" s="31" t="s">
        <v>19</v>
      </c>
      <c r="O34" s="40">
        <v>20.0</v>
      </c>
      <c r="P34" s="40" t="s">
        <v>170</v>
      </c>
      <c r="Q34" s="40" t="s">
        <v>119</v>
      </c>
    </row>
    <row r="35">
      <c r="A35" s="67">
        <v>45774.0</v>
      </c>
      <c r="B35" s="31" t="s">
        <v>21</v>
      </c>
      <c r="C35" s="40">
        <v>55.79</v>
      </c>
      <c r="D35" s="40" t="s">
        <v>171</v>
      </c>
      <c r="E35" s="40" t="s">
        <v>22</v>
      </c>
      <c r="M35" s="67">
        <v>45774.0</v>
      </c>
      <c r="N35" s="31" t="s">
        <v>21</v>
      </c>
      <c r="O35" s="40" t="s">
        <v>180</v>
      </c>
      <c r="P35" s="40" t="s">
        <v>180</v>
      </c>
      <c r="Q35" s="40" t="s">
        <v>180</v>
      </c>
    </row>
    <row r="36">
      <c r="A36" s="67">
        <v>45775.0</v>
      </c>
      <c r="B36" s="31" t="s">
        <v>23</v>
      </c>
      <c r="C36" s="40" t="s">
        <v>180</v>
      </c>
      <c r="D36" s="40" t="s">
        <v>180</v>
      </c>
      <c r="E36" s="40" t="s">
        <v>180</v>
      </c>
      <c r="M36" s="67">
        <v>45775.0</v>
      </c>
      <c r="N36" s="31" t="s">
        <v>23</v>
      </c>
      <c r="O36" s="40" t="s">
        <v>180</v>
      </c>
      <c r="P36" s="40" t="s">
        <v>180</v>
      </c>
      <c r="Q36" s="40" t="s">
        <v>180</v>
      </c>
    </row>
    <row r="37">
      <c r="A37" s="67">
        <v>45776.0</v>
      </c>
      <c r="B37" s="31" t="s">
        <v>25</v>
      </c>
      <c r="C37" s="40">
        <v>14.14</v>
      </c>
      <c r="D37" s="40" t="s">
        <v>171</v>
      </c>
      <c r="E37" s="40" t="s">
        <v>202</v>
      </c>
      <c r="M37" s="67">
        <v>45776.0</v>
      </c>
      <c r="N37" s="31" t="s">
        <v>25</v>
      </c>
      <c r="O37" s="40">
        <v>1502.0</v>
      </c>
      <c r="P37" s="40" t="s">
        <v>171</v>
      </c>
      <c r="Q37" s="40" t="s">
        <v>113</v>
      </c>
    </row>
    <row r="38">
      <c r="A38" s="67">
        <v>45777.0</v>
      </c>
      <c r="B38" s="31" t="s">
        <v>26</v>
      </c>
      <c r="C38" s="40">
        <v>50.0</v>
      </c>
      <c r="D38" s="40" t="s">
        <v>169</v>
      </c>
      <c r="E38" s="40" t="s">
        <v>29</v>
      </c>
      <c r="M38" s="67">
        <v>45777.0</v>
      </c>
      <c r="N38" s="31" t="s">
        <v>26</v>
      </c>
      <c r="O38" s="40" t="s">
        <v>180</v>
      </c>
      <c r="P38" s="40" t="s">
        <v>180</v>
      </c>
      <c r="Q38" s="40" t="s">
        <v>180</v>
      </c>
    </row>
  </sheetData>
  <conditionalFormatting sqref="C7:E38 O7:Q38">
    <cfRule type="cellIs" dxfId="3" priority="1" operator="equal">
      <formula>"Pix"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63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2" t="s">
        <v>191</v>
      </c>
      <c r="P6" s="72" t="s">
        <v>189</v>
      </c>
      <c r="Q6" s="72" t="s">
        <v>190</v>
      </c>
    </row>
    <row r="7">
      <c r="A7" s="73">
        <v>45778.0</v>
      </c>
      <c r="B7" s="74" t="s">
        <v>203</v>
      </c>
      <c r="C7" s="75" t="s">
        <v>180</v>
      </c>
      <c r="D7" s="76" t="s">
        <v>180</v>
      </c>
      <c r="E7" s="75" t="s">
        <v>180</v>
      </c>
      <c r="G7" s="69">
        <f>K9-K8</f>
        <v>673.88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45778.0</v>
      </c>
      <c r="N7" s="74" t="s">
        <v>203</v>
      </c>
      <c r="O7" s="75" t="s">
        <v>180</v>
      </c>
      <c r="P7" s="75" t="s">
        <v>180</v>
      </c>
      <c r="Q7" s="75" t="s">
        <v>180</v>
      </c>
    </row>
    <row r="8">
      <c r="A8" s="73">
        <v>45779.0</v>
      </c>
      <c r="B8" s="74" t="s">
        <v>17</v>
      </c>
      <c r="C8" s="75" t="s">
        <v>180</v>
      </c>
      <c r="D8" s="76" t="s">
        <v>180</v>
      </c>
      <c r="E8" s="75" t="s">
        <v>180</v>
      </c>
      <c r="G8" s="70" t="s">
        <v>1</v>
      </c>
      <c r="H8" s="35">
        <f>SUMIF(D7:D41,"Pix",C7:C41)</f>
        <v>1242.97</v>
      </c>
      <c r="I8" s="35">
        <f>SUMIF(D7:D41,"Dinheiro F",C7:C41)</f>
        <v>274.65</v>
      </c>
      <c r="J8" s="35">
        <f>SUMIF(D7:D41,"Cartão",C7:C41)</f>
        <v>137.5</v>
      </c>
      <c r="K8" s="40">
        <f t="shared" ref="K8:K9" si="1">SUM(H8:J8)</f>
        <v>1655.12</v>
      </c>
      <c r="M8" s="73">
        <v>45779.0</v>
      </c>
      <c r="N8" s="74" t="s">
        <v>17</v>
      </c>
      <c r="O8" s="75" t="s">
        <v>180</v>
      </c>
      <c r="P8" s="75" t="s">
        <v>180</v>
      </c>
      <c r="Q8" s="75" t="s">
        <v>180</v>
      </c>
    </row>
    <row r="9">
      <c r="A9" s="73">
        <v>45780.0</v>
      </c>
      <c r="B9" s="74" t="s">
        <v>19</v>
      </c>
      <c r="C9" s="75" t="s">
        <v>180</v>
      </c>
      <c r="D9" s="76" t="s">
        <v>180</v>
      </c>
      <c r="E9" s="75" t="s">
        <v>180</v>
      </c>
      <c r="G9" s="71" t="s">
        <v>2</v>
      </c>
      <c r="H9" s="40">
        <f>SUMIF(P7:P41,"Pix",O7:O41)</f>
        <v>0</v>
      </c>
      <c r="I9" s="35">
        <f>SUMIF(P7:P41,"Dinheiro F",O7:O41)</f>
        <v>230</v>
      </c>
      <c r="J9" s="35">
        <f>SUMIF(P7:P41,"Cartão",O7:O41)</f>
        <v>2099</v>
      </c>
      <c r="K9" s="40">
        <f t="shared" si="1"/>
        <v>2329</v>
      </c>
      <c r="M9" s="73">
        <v>45780.0</v>
      </c>
      <c r="N9" s="74" t="s">
        <v>19</v>
      </c>
      <c r="O9" s="76">
        <v>20.0</v>
      </c>
      <c r="P9" s="76" t="s">
        <v>170</v>
      </c>
      <c r="Q9" s="76" t="s">
        <v>119</v>
      </c>
    </row>
    <row r="10">
      <c r="A10" s="73">
        <v>45781.0</v>
      </c>
      <c r="B10" s="74" t="s">
        <v>21</v>
      </c>
      <c r="C10" s="76">
        <v>25.5</v>
      </c>
      <c r="D10" s="76" t="s">
        <v>169</v>
      </c>
      <c r="E10" s="76" t="s">
        <v>22</v>
      </c>
      <c r="M10" s="73">
        <v>45781.0</v>
      </c>
      <c r="N10" s="74" t="s">
        <v>21</v>
      </c>
      <c r="O10" s="75" t="s">
        <v>180</v>
      </c>
      <c r="P10" s="75" t="s">
        <v>180</v>
      </c>
      <c r="Q10" s="75" t="s">
        <v>180</v>
      </c>
    </row>
    <row r="11">
      <c r="A11" s="73">
        <v>45782.0</v>
      </c>
      <c r="B11" s="74" t="s">
        <v>23</v>
      </c>
      <c r="C11" s="76">
        <v>500.0</v>
      </c>
      <c r="D11" s="76" t="s">
        <v>169</v>
      </c>
      <c r="E11" s="76" t="s">
        <v>78</v>
      </c>
      <c r="M11" s="73">
        <v>45782.0</v>
      </c>
      <c r="N11" s="74" t="s">
        <v>23</v>
      </c>
      <c r="O11" s="75" t="s">
        <v>180</v>
      </c>
      <c r="P11" s="75" t="s">
        <v>180</v>
      </c>
      <c r="Q11" s="75" t="s">
        <v>180</v>
      </c>
    </row>
    <row r="12">
      <c r="A12" s="73">
        <v>45783.0</v>
      </c>
      <c r="B12" s="74" t="s">
        <v>25</v>
      </c>
      <c r="C12" s="76">
        <v>107.0</v>
      </c>
      <c r="D12" s="76" t="s">
        <v>170</v>
      </c>
      <c r="E12" s="76" t="s">
        <v>118</v>
      </c>
      <c r="M12" s="73">
        <v>45783.0</v>
      </c>
      <c r="N12" s="74" t="s">
        <v>25</v>
      </c>
      <c r="O12" s="75" t="s">
        <v>180</v>
      </c>
      <c r="P12" s="75" t="s">
        <v>180</v>
      </c>
      <c r="Q12" s="75" t="s">
        <v>180</v>
      </c>
    </row>
    <row r="13">
      <c r="A13" s="73">
        <v>45784.0</v>
      </c>
      <c r="B13" s="74" t="s">
        <v>26</v>
      </c>
      <c r="C13" s="76">
        <v>80.0</v>
      </c>
      <c r="D13" s="76" t="s">
        <v>171</v>
      </c>
      <c r="E13" s="76" t="s">
        <v>31</v>
      </c>
      <c r="M13" s="73">
        <v>45784.0</v>
      </c>
      <c r="N13" s="74" t="s">
        <v>26</v>
      </c>
      <c r="O13" s="75" t="s">
        <v>180</v>
      </c>
      <c r="P13" s="75" t="s">
        <v>180</v>
      </c>
      <c r="Q13" s="75" t="s">
        <v>180</v>
      </c>
    </row>
    <row r="14">
      <c r="A14" s="73">
        <v>45785.0</v>
      </c>
      <c r="B14" s="74" t="s">
        <v>27</v>
      </c>
      <c r="C14" s="76">
        <v>384.7</v>
      </c>
      <c r="D14" s="76" t="s">
        <v>169</v>
      </c>
      <c r="E14" s="76" t="s">
        <v>204</v>
      </c>
      <c r="M14" s="73">
        <v>45785.0</v>
      </c>
      <c r="N14" s="74" t="s">
        <v>27</v>
      </c>
      <c r="O14" s="76">
        <v>150.0</v>
      </c>
      <c r="P14" s="76" t="s">
        <v>170</v>
      </c>
      <c r="Q14" s="76" t="s">
        <v>194</v>
      </c>
    </row>
    <row r="15">
      <c r="A15" s="73">
        <v>45786.0</v>
      </c>
      <c r="B15" s="74" t="s">
        <v>17</v>
      </c>
      <c r="C15" s="76">
        <v>7.0</v>
      </c>
      <c r="D15" s="76" t="s">
        <v>170</v>
      </c>
      <c r="E15" s="76" t="s">
        <v>205</v>
      </c>
      <c r="M15" s="73">
        <v>45786.0</v>
      </c>
      <c r="N15" s="74" t="s">
        <v>17</v>
      </c>
      <c r="O15" s="75" t="s">
        <v>180</v>
      </c>
      <c r="P15" s="75" t="s">
        <v>180</v>
      </c>
      <c r="Q15" s="75" t="s">
        <v>180</v>
      </c>
    </row>
    <row r="16">
      <c r="A16" s="73">
        <v>45786.0</v>
      </c>
      <c r="B16" s="74" t="s">
        <v>17</v>
      </c>
      <c r="C16" s="76">
        <v>84.53</v>
      </c>
      <c r="D16" s="76" t="s">
        <v>169</v>
      </c>
      <c r="E16" s="76" t="s">
        <v>206</v>
      </c>
      <c r="M16" s="73">
        <v>45786.0</v>
      </c>
      <c r="N16" s="74" t="s">
        <v>17</v>
      </c>
      <c r="O16" s="75" t="s">
        <v>180</v>
      </c>
      <c r="P16" s="75" t="s">
        <v>180</v>
      </c>
      <c r="Q16" s="75" t="s">
        <v>180</v>
      </c>
    </row>
    <row r="17">
      <c r="A17" s="73">
        <v>45787.0</v>
      </c>
      <c r="B17" s="74" t="s">
        <v>19</v>
      </c>
      <c r="C17" s="76">
        <v>85.5</v>
      </c>
      <c r="D17" s="76" t="s">
        <v>169</v>
      </c>
      <c r="E17" s="76" t="s">
        <v>207</v>
      </c>
      <c r="M17" s="73">
        <v>45787.0</v>
      </c>
      <c r="N17" s="74" t="s">
        <v>19</v>
      </c>
      <c r="O17" s="76">
        <v>20.0</v>
      </c>
      <c r="P17" s="76" t="s">
        <v>170</v>
      </c>
      <c r="Q17" s="76" t="s">
        <v>119</v>
      </c>
    </row>
    <row r="18">
      <c r="A18" s="73">
        <v>45788.0</v>
      </c>
      <c r="B18" s="74" t="s">
        <v>21</v>
      </c>
      <c r="C18" s="75" t="s">
        <v>180</v>
      </c>
      <c r="D18" s="76" t="s">
        <v>180</v>
      </c>
      <c r="E18" s="75" t="s">
        <v>180</v>
      </c>
      <c r="M18" s="73">
        <v>45788.0</v>
      </c>
      <c r="N18" s="74" t="s">
        <v>21</v>
      </c>
      <c r="O18" s="75" t="s">
        <v>180</v>
      </c>
      <c r="P18" s="75" t="s">
        <v>180</v>
      </c>
      <c r="Q18" s="75" t="s">
        <v>180</v>
      </c>
    </row>
    <row r="19">
      <c r="A19" s="73">
        <v>45789.0</v>
      </c>
      <c r="B19" s="74" t="s">
        <v>23</v>
      </c>
      <c r="C19" s="76">
        <v>132.74</v>
      </c>
      <c r="D19" s="76" t="s">
        <v>169</v>
      </c>
      <c r="E19" s="76" t="s">
        <v>208</v>
      </c>
      <c r="M19" s="73">
        <v>45789.0</v>
      </c>
      <c r="N19" s="74" t="s">
        <v>23</v>
      </c>
      <c r="O19" s="75" t="s">
        <v>180</v>
      </c>
      <c r="P19" s="75" t="s">
        <v>180</v>
      </c>
      <c r="Q19" s="75" t="s">
        <v>180</v>
      </c>
    </row>
    <row r="20">
      <c r="A20" s="73">
        <v>45790.0</v>
      </c>
      <c r="B20" s="74" t="s">
        <v>25</v>
      </c>
      <c r="C20" s="76">
        <v>46.5</v>
      </c>
      <c r="D20" s="76" t="s">
        <v>170</v>
      </c>
      <c r="E20" s="76" t="s">
        <v>22</v>
      </c>
      <c r="M20" s="73">
        <v>45790.0</v>
      </c>
      <c r="N20" s="74" t="s">
        <v>25</v>
      </c>
      <c r="O20" s="75" t="s">
        <v>180</v>
      </c>
      <c r="P20" s="75" t="s">
        <v>180</v>
      </c>
      <c r="Q20" s="75" t="s">
        <v>180</v>
      </c>
    </row>
    <row r="21">
      <c r="A21" s="73">
        <v>45791.0</v>
      </c>
      <c r="B21" s="74" t="s">
        <v>26</v>
      </c>
      <c r="C21" s="75" t="s">
        <v>180</v>
      </c>
      <c r="D21" s="76" t="s">
        <v>180</v>
      </c>
      <c r="E21" s="75" t="s">
        <v>180</v>
      </c>
      <c r="M21" s="73">
        <v>45791.0</v>
      </c>
      <c r="N21" s="74" t="s">
        <v>26</v>
      </c>
      <c r="O21" s="75" t="s">
        <v>180</v>
      </c>
      <c r="P21" s="75" t="s">
        <v>180</v>
      </c>
      <c r="Q21" s="75" t="s">
        <v>180</v>
      </c>
    </row>
    <row r="22">
      <c r="A22" s="73">
        <v>45792.0</v>
      </c>
      <c r="B22" s="74" t="s">
        <v>27</v>
      </c>
      <c r="C22" s="76">
        <v>30.0</v>
      </c>
      <c r="D22" s="76" t="s">
        <v>169</v>
      </c>
      <c r="E22" s="76" t="s">
        <v>61</v>
      </c>
      <c r="M22" s="73">
        <v>45792.0</v>
      </c>
      <c r="N22" s="74" t="s">
        <v>27</v>
      </c>
      <c r="O22" s="75" t="s">
        <v>180</v>
      </c>
      <c r="P22" s="75" t="s">
        <v>180</v>
      </c>
      <c r="Q22" s="75" t="s">
        <v>180</v>
      </c>
    </row>
    <row r="23">
      <c r="A23" s="73">
        <v>45793.0</v>
      </c>
      <c r="B23" s="74" t="s">
        <v>17</v>
      </c>
      <c r="C23" s="76">
        <v>21.0</v>
      </c>
      <c r="D23" s="76" t="s">
        <v>170</v>
      </c>
      <c r="E23" s="76" t="s">
        <v>209</v>
      </c>
      <c r="M23" s="73">
        <v>45793.0</v>
      </c>
      <c r="N23" s="74" t="s">
        <v>17</v>
      </c>
      <c r="O23" s="76">
        <v>679.0</v>
      </c>
      <c r="P23" s="76" t="s">
        <v>171</v>
      </c>
      <c r="Q23" s="76" t="s">
        <v>133</v>
      </c>
    </row>
    <row r="24">
      <c r="A24" s="73">
        <v>45794.0</v>
      </c>
      <c r="B24" s="74" t="s">
        <v>19</v>
      </c>
      <c r="C24" s="75" t="s">
        <v>180</v>
      </c>
      <c r="D24" s="76" t="s">
        <v>180</v>
      </c>
      <c r="E24" s="75" t="s">
        <v>180</v>
      </c>
      <c r="M24" s="73">
        <v>45794.0</v>
      </c>
      <c r="N24" s="74" t="s">
        <v>19</v>
      </c>
      <c r="O24" s="76">
        <v>20.0</v>
      </c>
      <c r="P24" s="76" t="s">
        <v>170</v>
      </c>
      <c r="Q24" s="76" t="s">
        <v>119</v>
      </c>
    </row>
    <row r="25">
      <c r="A25" s="73">
        <v>45795.0</v>
      </c>
      <c r="B25" s="74" t="s">
        <v>21</v>
      </c>
      <c r="C25" s="75" t="s">
        <v>180</v>
      </c>
      <c r="D25" s="76" t="s">
        <v>180</v>
      </c>
      <c r="E25" s="75" t="s">
        <v>180</v>
      </c>
      <c r="M25" s="73">
        <v>45795.0</v>
      </c>
      <c r="N25" s="74" t="s">
        <v>21</v>
      </c>
      <c r="O25" s="75" t="s">
        <v>180</v>
      </c>
      <c r="P25" s="75" t="s">
        <v>180</v>
      </c>
      <c r="Q25" s="75" t="s">
        <v>180</v>
      </c>
    </row>
    <row r="26">
      <c r="A26" s="73">
        <v>45796.0</v>
      </c>
      <c r="B26" s="74" t="s">
        <v>23</v>
      </c>
      <c r="C26" s="75" t="s">
        <v>180</v>
      </c>
      <c r="D26" s="76" t="s">
        <v>180</v>
      </c>
      <c r="E26" s="75" t="s">
        <v>180</v>
      </c>
      <c r="M26" s="73">
        <v>45796.0</v>
      </c>
      <c r="N26" s="74" t="s">
        <v>23</v>
      </c>
      <c r="O26" s="75" t="s">
        <v>180</v>
      </c>
      <c r="P26" s="75" t="s">
        <v>180</v>
      </c>
      <c r="Q26" s="75" t="s">
        <v>180</v>
      </c>
    </row>
    <row r="27">
      <c r="A27" s="73">
        <v>45797.0</v>
      </c>
      <c r="B27" s="74" t="s">
        <v>25</v>
      </c>
      <c r="C27" s="76">
        <v>5.0</v>
      </c>
      <c r="D27" s="76" t="s">
        <v>170</v>
      </c>
      <c r="E27" s="76" t="s">
        <v>210</v>
      </c>
      <c r="M27" s="73">
        <v>45797.0</v>
      </c>
      <c r="N27" s="74" t="s">
        <v>25</v>
      </c>
      <c r="O27" s="75" t="s">
        <v>180</v>
      </c>
      <c r="P27" s="75" t="s">
        <v>180</v>
      </c>
      <c r="Q27" s="75" t="s">
        <v>180</v>
      </c>
    </row>
    <row r="28">
      <c r="A28" s="73">
        <v>45798.0</v>
      </c>
      <c r="B28" s="74" t="s">
        <v>26</v>
      </c>
      <c r="C28" s="76">
        <v>34.15</v>
      </c>
      <c r="D28" s="76" t="s">
        <v>170</v>
      </c>
      <c r="E28" s="76" t="s">
        <v>211</v>
      </c>
      <c r="M28" s="73">
        <v>45798.0</v>
      </c>
      <c r="N28" s="74" t="s">
        <v>26</v>
      </c>
      <c r="O28" s="75" t="s">
        <v>180</v>
      </c>
      <c r="P28" s="75" t="s">
        <v>180</v>
      </c>
      <c r="Q28" s="75" t="s">
        <v>180</v>
      </c>
    </row>
    <row r="29">
      <c r="A29" s="73">
        <v>45799.0</v>
      </c>
      <c r="B29" s="74" t="s">
        <v>27</v>
      </c>
      <c r="C29" s="76">
        <v>57.5</v>
      </c>
      <c r="D29" s="76" t="s">
        <v>171</v>
      </c>
      <c r="E29" s="76" t="s">
        <v>150</v>
      </c>
      <c r="M29" s="73">
        <v>45799.0</v>
      </c>
      <c r="N29" s="74" t="s">
        <v>27</v>
      </c>
      <c r="O29" s="75" t="s">
        <v>180</v>
      </c>
      <c r="P29" s="75" t="s">
        <v>180</v>
      </c>
      <c r="Q29" s="75" t="s">
        <v>180</v>
      </c>
    </row>
    <row r="30">
      <c r="A30" s="73">
        <v>45800.0</v>
      </c>
      <c r="B30" s="74" t="s">
        <v>17</v>
      </c>
      <c r="C30" s="75" t="s">
        <v>180</v>
      </c>
      <c r="D30" s="76" t="s">
        <v>180</v>
      </c>
      <c r="E30" s="75" t="s">
        <v>180</v>
      </c>
      <c r="M30" s="73">
        <v>45800.0</v>
      </c>
      <c r="N30" s="74" t="s">
        <v>17</v>
      </c>
      <c r="O30" s="75" t="s">
        <v>180</v>
      </c>
      <c r="P30" s="75" t="s">
        <v>180</v>
      </c>
      <c r="Q30" s="75" t="s">
        <v>180</v>
      </c>
    </row>
    <row r="31">
      <c r="A31" s="73">
        <v>45801.0</v>
      </c>
      <c r="B31" s="74" t="s">
        <v>19</v>
      </c>
      <c r="C31" s="76">
        <v>8.5</v>
      </c>
      <c r="D31" s="76" t="s">
        <v>170</v>
      </c>
      <c r="E31" s="76" t="s">
        <v>200</v>
      </c>
      <c r="M31" s="73">
        <v>45801.0</v>
      </c>
      <c r="N31" s="74" t="s">
        <v>19</v>
      </c>
      <c r="O31" s="75" t="s">
        <v>180</v>
      </c>
      <c r="P31" s="75" t="s">
        <v>180</v>
      </c>
      <c r="Q31" s="75" t="s">
        <v>180</v>
      </c>
    </row>
    <row r="32">
      <c r="A32" s="73">
        <v>45802.0</v>
      </c>
      <c r="B32" s="74" t="s">
        <v>21</v>
      </c>
      <c r="C32" s="76">
        <v>25.0</v>
      </c>
      <c r="D32" s="76" t="s">
        <v>170</v>
      </c>
      <c r="E32" s="76" t="s">
        <v>22</v>
      </c>
      <c r="M32" s="73">
        <v>45802.0</v>
      </c>
      <c r="N32" s="74" t="s">
        <v>21</v>
      </c>
      <c r="O32" s="75" t="s">
        <v>180</v>
      </c>
      <c r="P32" s="75" t="s">
        <v>180</v>
      </c>
      <c r="Q32" s="75" t="s">
        <v>180</v>
      </c>
    </row>
    <row r="33">
      <c r="A33" s="73">
        <v>45803.0</v>
      </c>
      <c r="B33" s="74" t="s">
        <v>23</v>
      </c>
      <c r="C33" s="75" t="s">
        <v>180</v>
      </c>
      <c r="D33" s="76" t="s">
        <v>180</v>
      </c>
      <c r="E33" s="75" t="s">
        <v>180</v>
      </c>
      <c r="M33" s="73">
        <v>45803.0</v>
      </c>
      <c r="N33" s="74" t="s">
        <v>23</v>
      </c>
      <c r="O33" s="75" t="s">
        <v>180</v>
      </c>
      <c r="P33" s="75" t="s">
        <v>180</v>
      </c>
      <c r="Q33" s="75" t="s">
        <v>180</v>
      </c>
    </row>
    <row r="34">
      <c r="A34" s="73">
        <v>45804.0</v>
      </c>
      <c r="B34" s="74" t="s">
        <v>25</v>
      </c>
      <c r="C34" s="76">
        <v>6.0</v>
      </c>
      <c r="D34" s="76" t="s">
        <v>170</v>
      </c>
      <c r="E34" s="76" t="s">
        <v>205</v>
      </c>
      <c r="M34" s="73">
        <v>45804.0</v>
      </c>
      <c r="N34" s="74" t="s">
        <v>25</v>
      </c>
      <c r="O34" s="75" t="s">
        <v>180</v>
      </c>
      <c r="P34" s="75" t="s">
        <v>180</v>
      </c>
      <c r="Q34" s="75" t="s">
        <v>180</v>
      </c>
    </row>
    <row r="35">
      <c r="A35" s="73">
        <v>45805.0</v>
      </c>
      <c r="B35" s="74" t="s">
        <v>26</v>
      </c>
      <c r="C35" s="76">
        <v>14.5</v>
      </c>
      <c r="D35" s="76" t="s">
        <v>170</v>
      </c>
      <c r="E35" s="76" t="s">
        <v>200</v>
      </c>
      <c r="M35" s="73">
        <v>45805.0</v>
      </c>
      <c r="N35" s="74" t="s">
        <v>26</v>
      </c>
      <c r="O35" s="75" t="s">
        <v>180</v>
      </c>
      <c r="P35" s="75" t="s">
        <v>180</v>
      </c>
      <c r="Q35" s="75" t="s">
        <v>180</v>
      </c>
    </row>
    <row r="36">
      <c r="A36" s="73">
        <v>45806.0</v>
      </c>
      <c r="B36" s="74" t="s">
        <v>27</v>
      </c>
      <c r="C36" s="75" t="s">
        <v>180</v>
      </c>
      <c r="D36" s="76" t="s">
        <v>180</v>
      </c>
      <c r="E36" s="75" t="s">
        <v>180</v>
      </c>
      <c r="M36" s="73">
        <v>45806.0</v>
      </c>
      <c r="N36" s="74" t="s">
        <v>27</v>
      </c>
      <c r="O36" s="76">
        <v>1420.0</v>
      </c>
      <c r="P36" s="76" t="s">
        <v>171</v>
      </c>
      <c r="Q36" s="76" t="s">
        <v>113</v>
      </c>
    </row>
    <row r="37">
      <c r="A37" s="73">
        <v>45807.0</v>
      </c>
      <c r="B37" s="74" t="s">
        <v>17</v>
      </c>
      <c r="C37" s="75" t="s">
        <v>180</v>
      </c>
      <c r="D37" s="76" t="s">
        <v>180</v>
      </c>
      <c r="E37" s="75" t="s">
        <v>180</v>
      </c>
      <c r="M37" s="73">
        <v>45807.0</v>
      </c>
      <c r="N37" s="74" t="s">
        <v>17</v>
      </c>
      <c r="O37" s="75" t="s">
        <v>180</v>
      </c>
      <c r="P37" s="75" t="s">
        <v>180</v>
      </c>
      <c r="Q37" s="75" t="s">
        <v>180</v>
      </c>
    </row>
    <row r="38">
      <c r="A38" s="73">
        <v>45808.0</v>
      </c>
      <c r="B38" s="74" t="s">
        <v>19</v>
      </c>
      <c r="C38" s="75" t="s">
        <v>180</v>
      </c>
      <c r="D38" s="76" t="s">
        <v>180</v>
      </c>
      <c r="E38" s="75" t="s">
        <v>180</v>
      </c>
      <c r="M38" s="73">
        <v>45808.0</v>
      </c>
      <c r="N38" s="74" t="s">
        <v>19</v>
      </c>
      <c r="O38" s="76">
        <v>20.0</v>
      </c>
      <c r="P38" s="76" t="s">
        <v>170</v>
      </c>
      <c r="Q38" s="76" t="s">
        <v>119</v>
      </c>
    </row>
  </sheetData>
  <conditionalFormatting sqref="C7:E38 O7:Q38">
    <cfRule type="cellIs" dxfId="3" priority="1" operator="equal">
      <formula>"Pix"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75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45809.0</v>
      </c>
      <c r="B7" s="74" t="s">
        <v>21</v>
      </c>
      <c r="C7" s="75" t="s">
        <v>180</v>
      </c>
      <c r="D7" s="75" t="s">
        <v>180</v>
      </c>
      <c r="E7" s="75" t="s">
        <v>180</v>
      </c>
      <c r="G7" s="69">
        <f>K9-K8</f>
        <v>-2273.91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45809.0</v>
      </c>
      <c r="N7" s="74" t="s">
        <v>21</v>
      </c>
      <c r="O7" s="75" t="s">
        <v>180</v>
      </c>
      <c r="P7" s="75" t="s">
        <v>180</v>
      </c>
      <c r="Q7" s="75" t="s">
        <v>180</v>
      </c>
    </row>
    <row r="8">
      <c r="A8" s="73">
        <v>45810.0</v>
      </c>
      <c r="B8" s="74" t="s">
        <v>23</v>
      </c>
      <c r="C8" s="76">
        <v>24.0</v>
      </c>
      <c r="D8" s="76" t="s">
        <v>169</v>
      </c>
      <c r="E8" s="76" t="s">
        <v>212</v>
      </c>
      <c r="G8" s="70" t="s">
        <v>1</v>
      </c>
      <c r="H8" s="35">
        <f>SUMIF(D7:D39,"Pix",C7:C39)</f>
        <v>4261.98</v>
      </c>
      <c r="I8" s="35">
        <f>SUMIF(D7:D39,"Dinheiro F",C7:C39)</f>
        <v>151</v>
      </c>
      <c r="J8" s="35">
        <f>SUMIF(D7:D39,"Cartão",C7:C39)</f>
        <v>227.93</v>
      </c>
      <c r="K8" s="40">
        <f t="shared" ref="K8:K9" si="1">SUM(H8:J8)</f>
        <v>4640.91</v>
      </c>
      <c r="M8" s="73">
        <v>45810.0</v>
      </c>
      <c r="N8" s="74" t="s">
        <v>23</v>
      </c>
      <c r="O8" s="76">
        <v>150.0</v>
      </c>
      <c r="P8" s="76" t="s">
        <v>170</v>
      </c>
      <c r="Q8" s="76" t="s">
        <v>194</v>
      </c>
    </row>
    <row r="9">
      <c r="A9" s="73">
        <v>45811.0</v>
      </c>
      <c r="B9" s="74" t="s">
        <v>25</v>
      </c>
      <c r="C9" s="76">
        <v>20.0</v>
      </c>
      <c r="D9" s="76" t="s">
        <v>169</v>
      </c>
      <c r="E9" s="76" t="s">
        <v>29</v>
      </c>
      <c r="G9" s="71" t="s">
        <v>2</v>
      </c>
      <c r="H9" s="40">
        <f>SUMIF(P7:P39,"Pix",O7:O39)</f>
        <v>0</v>
      </c>
      <c r="I9" s="35">
        <f>SUMIF(P7:P39,"Dinheiro F",O7:O39)</f>
        <v>330</v>
      </c>
      <c r="J9" s="35">
        <f>SUMIF(P7:P39,"Cartão",O7:O39)</f>
        <v>2037</v>
      </c>
      <c r="K9" s="40">
        <f t="shared" si="1"/>
        <v>2367</v>
      </c>
      <c r="M9" s="73">
        <v>45811.0</v>
      </c>
      <c r="N9" s="74" t="s">
        <v>25</v>
      </c>
      <c r="O9" s="75" t="s">
        <v>180</v>
      </c>
      <c r="P9" s="75" t="s">
        <v>180</v>
      </c>
      <c r="Q9" s="75" t="s">
        <v>180</v>
      </c>
    </row>
    <row r="10">
      <c r="A10" s="73">
        <v>45812.0</v>
      </c>
      <c r="B10" s="74" t="s">
        <v>26</v>
      </c>
      <c r="C10" s="75" t="s">
        <v>180</v>
      </c>
      <c r="D10" s="75" t="s">
        <v>180</v>
      </c>
      <c r="E10" s="75" t="s">
        <v>180</v>
      </c>
      <c r="M10" s="73">
        <v>45812.0</v>
      </c>
      <c r="N10" s="74" t="s">
        <v>26</v>
      </c>
      <c r="O10" s="75" t="s">
        <v>180</v>
      </c>
      <c r="P10" s="75" t="s">
        <v>180</v>
      </c>
      <c r="Q10" s="75" t="s">
        <v>180</v>
      </c>
    </row>
    <row r="11">
      <c r="A11" s="73">
        <v>45813.0</v>
      </c>
      <c r="B11" s="74" t="s">
        <v>27</v>
      </c>
      <c r="C11" s="76">
        <v>500.0</v>
      </c>
      <c r="D11" s="76" t="s">
        <v>169</v>
      </c>
      <c r="E11" s="76" t="s">
        <v>78</v>
      </c>
      <c r="M11" s="73">
        <v>45813.0</v>
      </c>
      <c r="N11" s="74" t="s">
        <v>27</v>
      </c>
      <c r="O11" s="75" t="s">
        <v>180</v>
      </c>
      <c r="P11" s="75" t="s">
        <v>180</v>
      </c>
      <c r="Q11" s="75" t="s">
        <v>180</v>
      </c>
    </row>
    <row r="12">
      <c r="A12" s="73">
        <v>45814.0</v>
      </c>
      <c r="B12" s="74" t="s">
        <v>17</v>
      </c>
      <c r="C12" s="75" t="s">
        <v>180</v>
      </c>
      <c r="D12" s="75" t="s">
        <v>180</v>
      </c>
      <c r="E12" s="75" t="s">
        <v>180</v>
      </c>
      <c r="M12" s="73">
        <v>45814.0</v>
      </c>
      <c r="N12" s="74" t="s">
        <v>17</v>
      </c>
      <c r="O12" s="75" t="s">
        <v>180</v>
      </c>
      <c r="P12" s="75" t="s">
        <v>180</v>
      </c>
      <c r="Q12" s="75" t="s">
        <v>180</v>
      </c>
    </row>
    <row r="13">
      <c r="A13" s="73">
        <v>45815.0</v>
      </c>
      <c r="B13" s="74" t="s">
        <v>19</v>
      </c>
      <c r="C13" s="76">
        <v>6.0</v>
      </c>
      <c r="D13" s="76" t="s">
        <v>169</v>
      </c>
      <c r="E13" s="76" t="s">
        <v>213</v>
      </c>
      <c r="M13" s="73">
        <v>45815.0</v>
      </c>
      <c r="N13" s="74" t="s">
        <v>19</v>
      </c>
      <c r="O13" s="76">
        <v>20.0</v>
      </c>
      <c r="P13" s="76" t="s">
        <v>170</v>
      </c>
      <c r="Q13" s="76" t="s">
        <v>119</v>
      </c>
    </row>
    <row r="14">
      <c r="A14" s="73">
        <v>45816.0</v>
      </c>
      <c r="B14" s="74" t="s">
        <v>21</v>
      </c>
      <c r="C14" s="76">
        <v>24.0</v>
      </c>
      <c r="D14" s="76" t="s">
        <v>169</v>
      </c>
      <c r="E14" s="76" t="s">
        <v>22</v>
      </c>
      <c r="M14" s="73">
        <v>45816.0</v>
      </c>
      <c r="N14" s="74" t="s">
        <v>21</v>
      </c>
      <c r="O14" s="75" t="s">
        <v>180</v>
      </c>
      <c r="P14" s="75" t="s">
        <v>180</v>
      </c>
      <c r="Q14" s="75" t="s">
        <v>180</v>
      </c>
    </row>
    <row r="15">
      <c r="A15" s="73">
        <v>45817.0</v>
      </c>
      <c r="B15" s="74" t="s">
        <v>23</v>
      </c>
      <c r="C15" s="75" t="s">
        <v>180</v>
      </c>
      <c r="D15" s="75" t="s">
        <v>180</v>
      </c>
      <c r="E15" s="75" t="s">
        <v>180</v>
      </c>
      <c r="M15" s="73">
        <v>45817.0</v>
      </c>
      <c r="N15" s="74" t="s">
        <v>23</v>
      </c>
      <c r="O15" s="75" t="s">
        <v>180</v>
      </c>
      <c r="P15" s="75" t="s">
        <v>180</v>
      </c>
      <c r="Q15" s="75" t="s">
        <v>180</v>
      </c>
    </row>
    <row r="16">
      <c r="A16" s="73">
        <v>45818.0</v>
      </c>
      <c r="B16" s="74" t="s">
        <v>25</v>
      </c>
      <c r="C16" s="75" t="s">
        <v>180</v>
      </c>
      <c r="D16" s="75" t="s">
        <v>180</v>
      </c>
      <c r="E16" s="75" t="s">
        <v>180</v>
      </c>
      <c r="M16" s="73">
        <v>45818.0</v>
      </c>
      <c r="N16" s="74" t="s">
        <v>25</v>
      </c>
      <c r="O16" s="75" t="s">
        <v>180</v>
      </c>
      <c r="P16" s="75" t="s">
        <v>180</v>
      </c>
      <c r="Q16" s="75" t="s">
        <v>180</v>
      </c>
    </row>
    <row r="17">
      <c r="A17" s="73">
        <v>45819.0</v>
      </c>
      <c r="B17" s="74" t="s">
        <v>26</v>
      </c>
      <c r="C17" s="76">
        <v>19.0</v>
      </c>
      <c r="D17" s="76" t="s">
        <v>169</v>
      </c>
      <c r="E17" s="76" t="s">
        <v>201</v>
      </c>
      <c r="M17" s="73">
        <v>45819.0</v>
      </c>
      <c r="N17" s="74" t="s">
        <v>26</v>
      </c>
      <c r="O17" s="75" t="s">
        <v>180</v>
      </c>
      <c r="P17" s="75" t="s">
        <v>180</v>
      </c>
      <c r="Q17" s="75" t="s">
        <v>180</v>
      </c>
    </row>
    <row r="18">
      <c r="A18" s="73">
        <v>45820.0</v>
      </c>
      <c r="B18" s="74" t="s">
        <v>27</v>
      </c>
      <c r="C18" s="76">
        <v>18.98</v>
      </c>
      <c r="D18" s="76" t="s">
        <v>169</v>
      </c>
      <c r="E18" s="76" t="s">
        <v>201</v>
      </c>
      <c r="M18" s="73">
        <v>45820.0</v>
      </c>
      <c r="N18" s="74" t="s">
        <v>27</v>
      </c>
      <c r="O18" s="75" t="s">
        <v>180</v>
      </c>
      <c r="P18" s="75" t="s">
        <v>180</v>
      </c>
      <c r="Q18" s="75" t="s">
        <v>180</v>
      </c>
    </row>
    <row r="19">
      <c r="A19" s="73">
        <v>45821.0</v>
      </c>
      <c r="B19" s="74" t="s">
        <v>17</v>
      </c>
      <c r="C19" s="75" t="s">
        <v>180</v>
      </c>
      <c r="D19" s="75" t="s">
        <v>180</v>
      </c>
      <c r="E19" s="75" t="s">
        <v>180</v>
      </c>
      <c r="M19" s="73">
        <v>45821.0</v>
      </c>
      <c r="N19" s="74" t="s">
        <v>17</v>
      </c>
      <c r="O19" s="75" t="s">
        <v>180</v>
      </c>
      <c r="P19" s="75" t="s">
        <v>180</v>
      </c>
      <c r="Q19" s="75" t="s">
        <v>180</v>
      </c>
    </row>
    <row r="20">
      <c r="A20" s="73">
        <v>45822.0</v>
      </c>
      <c r="B20" s="74" t="s">
        <v>19</v>
      </c>
      <c r="C20" s="76">
        <v>79.99</v>
      </c>
      <c r="D20" s="76" t="s">
        <v>171</v>
      </c>
      <c r="E20" s="76" t="s">
        <v>31</v>
      </c>
      <c r="M20" s="73">
        <v>45822.0</v>
      </c>
      <c r="N20" s="74" t="s">
        <v>19</v>
      </c>
      <c r="O20" s="76">
        <v>20.0</v>
      </c>
      <c r="P20" s="76" t="s">
        <v>170</v>
      </c>
      <c r="Q20" s="76" t="s">
        <v>119</v>
      </c>
    </row>
    <row r="21">
      <c r="A21" s="73">
        <v>45823.0</v>
      </c>
      <c r="B21" s="74" t="s">
        <v>21</v>
      </c>
      <c r="C21" s="76">
        <v>32.0</v>
      </c>
      <c r="D21" s="76" t="s">
        <v>170</v>
      </c>
      <c r="E21" s="76" t="s">
        <v>214</v>
      </c>
      <c r="M21" s="73">
        <v>45823.0</v>
      </c>
      <c r="N21" s="74" t="s">
        <v>21</v>
      </c>
      <c r="O21" s="75" t="s">
        <v>180</v>
      </c>
      <c r="P21" s="75" t="s">
        <v>180</v>
      </c>
      <c r="Q21" s="75" t="s">
        <v>180</v>
      </c>
    </row>
    <row r="22">
      <c r="A22" s="73">
        <v>45824.0</v>
      </c>
      <c r="B22" s="74" t="s">
        <v>23</v>
      </c>
      <c r="C22" s="76">
        <v>20.97</v>
      </c>
      <c r="D22" s="76" t="s">
        <v>171</v>
      </c>
      <c r="E22" s="76" t="s">
        <v>215</v>
      </c>
      <c r="M22" s="73">
        <v>45824.0</v>
      </c>
      <c r="N22" s="74" t="s">
        <v>23</v>
      </c>
      <c r="O22" s="76">
        <v>679.0</v>
      </c>
      <c r="P22" s="76" t="s">
        <v>171</v>
      </c>
      <c r="Q22" s="76" t="s">
        <v>133</v>
      </c>
    </row>
    <row r="23">
      <c r="A23" s="73">
        <v>45825.0</v>
      </c>
      <c r="B23" s="74" t="s">
        <v>25</v>
      </c>
      <c r="C23" s="76">
        <v>2.5</v>
      </c>
      <c r="D23" s="76" t="s">
        <v>170</v>
      </c>
      <c r="E23" s="76" t="s">
        <v>216</v>
      </c>
      <c r="M23" s="73">
        <v>45825.0</v>
      </c>
      <c r="N23" s="74" t="s">
        <v>25</v>
      </c>
      <c r="O23" s="75" t="s">
        <v>180</v>
      </c>
      <c r="P23" s="75" t="s">
        <v>180</v>
      </c>
      <c r="Q23" s="75" t="s">
        <v>180</v>
      </c>
    </row>
    <row r="24">
      <c r="A24" s="73">
        <v>45826.0</v>
      </c>
      <c r="B24" s="74" t="s">
        <v>26</v>
      </c>
      <c r="C24" s="76">
        <v>6.0</v>
      </c>
      <c r="D24" s="76" t="s">
        <v>169</v>
      </c>
      <c r="E24" s="76" t="s">
        <v>217</v>
      </c>
      <c r="M24" s="73">
        <v>45826.0</v>
      </c>
      <c r="N24" s="74" t="s">
        <v>26</v>
      </c>
      <c r="O24" s="75" t="s">
        <v>180</v>
      </c>
      <c r="P24" s="75" t="s">
        <v>180</v>
      </c>
      <c r="Q24" s="75" t="s">
        <v>180</v>
      </c>
    </row>
    <row r="25">
      <c r="A25" s="73">
        <v>45827.0</v>
      </c>
      <c r="B25" s="74" t="s">
        <v>27</v>
      </c>
      <c r="C25" s="76">
        <v>100.0</v>
      </c>
      <c r="D25" s="76" t="s">
        <v>170</v>
      </c>
      <c r="E25" s="76" t="s">
        <v>29</v>
      </c>
      <c r="M25" s="73">
        <v>45827.0</v>
      </c>
      <c r="N25" s="74" t="s">
        <v>27</v>
      </c>
      <c r="O25" s="75" t="s">
        <v>180</v>
      </c>
      <c r="P25" s="75" t="s">
        <v>180</v>
      </c>
      <c r="Q25" s="75" t="s">
        <v>180</v>
      </c>
    </row>
    <row r="26">
      <c r="A26" s="73">
        <v>45828.0</v>
      </c>
      <c r="B26" s="74" t="s">
        <v>17</v>
      </c>
      <c r="C26" s="75" t="s">
        <v>180</v>
      </c>
      <c r="D26" s="75" t="s">
        <v>180</v>
      </c>
      <c r="E26" s="75" t="s">
        <v>180</v>
      </c>
      <c r="M26" s="73">
        <v>45828.0</v>
      </c>
      <c r="N26" s="74" t="s">
        <v>17</v>
      </c>
      <c r="O26" s="75" t="s">
        <v>180</v>
      </c>
      <c r="P26" s="75" t="s">
        <v>180</v>
      </c>
      <c r="Q26" s="75" t="s">
        <v>180</v>
      </c>
    </row>
    <row r="27">
      <c r="A27" s="73">
        <v>45829.0</v>
      </c>
      <c r="B27" s="74" t="s">
        <v>19</v>
      </c>
      <c r="C27" s="76">
        <v>28.0</v>
      </c>
      <c r="D27" s="76" t="s">
        <v>171</v>
      </c>
      <c r="E27" s="76" t="s">
        <v>61</v>
      </c>
      <c r="M27" s="73">
        <v>45829.0</v>
      </c>
      <c r="N27" s="74" t="s">
        <v>19</v>
      </c>
      <c r="O27" s="76">
        <v>20.0</v>
      </c>
      <c r="P27" s="76" t="s">
        <v>170</v>
      </c>
      <c r="Q27" s="76" t="s">
        <v>119</v>
      </c>
    </row>
    <row r="28">
      <c r="A28" s="73">
        <v>45830.0</v>
      </c>
      <c r="B28" s="74" t="s">
        <v>21</v>
      </c>
      <c r="C28" s="76">
        <v>40.0</v>
      </c>
      <c r="D28" s="76" t="s">
        <v>171</v>
      </c>
      <c r="E28" s="76" t="s">
        <v>22</v>
      </c>
      <c r="M28" s="73">
        <v>45830.0</v>
      </c>
      <c r="N28" s="74" t="s">
        <v>21</v>
      </c>
      <c r="O28" s="75" t="s">
        <v>180</v>
      </c>
      <c r="P28" s="75" t="s">
        <v>180</v>
      </c>
      <c r="Q28" s="75" t="s">
        <v>180</v>
      </c>
    </row>
    <row r="29">
      <c r="A29" s="73">
        <v>45831.0</v>
      </c>
      <c r="B29" s="74" t="s">
        <v>23</v>
      </c>
      <c r="C29" s="76">
        <v>36.0</v>
      </c>
      <c r="D29" s="76" t="s">
        <v>169</v>
      </c>
      <c r="E29" s="76" t="s">
        <v>29</v>
      </c>
      <c r="M29" s="73">
        <v>45831.0</v>
      </c>
      <c r="N29" s="74" t="s">
        <v>23</v>
      </c>
      <c r="O29" s="75" t="s">
        <v>180</v>
      </c>
      <c r="P29" s="75" t="s">
        <v>180</v>
      </c>
      <c r="Q29" s="75" t="s">
        <v>180</v>
      </c>
    </row>
    <row r="30">
      <c r="A30" s="73">
        <v>45832.0</v>
      </c>
      <c r="B30" s="74" t="s">
        <v>25</v>
      </c>
      <c r="C30" s="76">
        <v>58.97</v>
      </c>
      <c r="D30" s="76" t="s">
        <v>171</v>
      </c>
      <c r="E30" s="76" t="s">
        <v>218</v>
      </c>
      <c r="M30" s="73">
        <v>45832.0</v>
      </c>
      <c r="N30" s="74" t="s">
        <v>25</v>
      </c>
      <c r="O30" s="75" t="s">
        <v>180</v>
      </c>
      <c r="P30" s="75" t="s">
        <v>180</v>
      </c>
      <c r="Q30" s="75" t="s">
        <v>180</v>
      </c>
    </row>
    <row r="31">
      <c r="A31" s="73">
        <v>45833.0</v>
      </c>
      <c r="B31" s="74" t="s">
        <v>26</v>
      </c>
      <c r="C31" s="76">
        <v>3580.0</v>
      </c>
      <c r="D31" s="76" t="s">
        <v>169</v>
      </c>
      <c r="E31" s="76" t="s">
        <v>219</v>
      </c>
      <c r="M31" s="73">
        <v>45833.0</v>
      </c>
      <c r="N31" s="74" t="s">
        <v>26</v>
      </c>
      <c r="O31" s="75" t="s">
        <v>180</v>
      </c>
      <c r="P31" s="75" t="s">
        <v>180</v>
      </c>
      <c r="Q31" s="75" t="s">
        <v>180</v>
      </c>
    </row>
    <row r="32">
      <c r="A32" s="73">
        <v>45834.0</v>
      </c>
      <c r="B32" s="74" t="s">
        <v>27</v>
      </c>
      <c r="C32" s="76">
        <v>2.5</v>
      </c>
      <c r="D32" s="76" t="s">
        <v>170</v>
      </c>
      <c r="E32" s="76" t="s">
        <v>216</v>
      </c>
      <c r="M32" s="73">
        <v>45834.0</v>
      </c>
      <c r="N32" s="74" t="s">
        <v>27</v>
      </c>
      <c r="O32" s="76">
        <v>1358.0</v>
      </c>
      <c r="P32" s="76" t="s">
        <v>171</v>
      </c>
      <c r="Q32" s="76" t="s">
        <v>113</v>
      </c>
    </row>
    <row r="33">
      <c r="A33" s="73">
        <v>45835.0</v>
      </c>
      <c r="B33" s="74" t="s">
        <v>17</v>
      </c>
      <c r="C33" s="75" t="s">
        <v>180</v>
      </c>
      <c r="D33" s="75" t="s">
        <v>180</v>
      </c>
      <c r="E33" s="75" t="s">
        <v>180</v>
      </c>
      <c r="M33" s="73">
        <v>45835.0</v>
      </c>
      <c r="N33" s="74" t="s">
        <v>17</v>
      </c>
      <c r="O33" s="75" t="s">
        <v>180</v>
      </c>
      <c r="P33" s="75" t="s">
        <v>180</v>
      </c>
      <c r="Q33" s="75" t="s">
        <v>180</v>
      </c>
    </row>
    <row r="34">
      <c r="A34" s="73">
        <v>45836.0</v>
      </c>
      <c r="B34" s="74" t="s">
        <v>19</v>
      </c>
      <c r="C34" s="76">
        <v>14.0</v>
      </c>
      <c r="D34" s="76" t="s">
        <v>170</v>
      </c>
      <c r="E34" s="76" t="s">
        <v>205</v>
      </c>
      <c r="M34" s="73">
        <v>45836.0</v>
      </c>
      <c r="N34" s="74" t="s">
        <v>19</v>
      </c>
      <c r="O34" s="76">
        <v>20.0</v>
      </c>
      <c r="P34" s="76" t="s">
        <v>170</v>
      </c>
      <c r="Q34" s="76" t="s">
        <v>119</v>
      </c>
    </row>
    <row r="35">
      <c r="A35" s="73">
        <v>45837.0</v>
      </c>
      <c r="B35" s="74" t="s">
        <v>21</v>
      </c>
      <c r="C35" s="75" t="s">
        <v>180</v>
      </c>
      <c r="D35" s="75" t="s">
        <v>180</v>
      </c>
      <c r="E35" s="75" t="s">
        <v>180</v>
      </c>
      <c r="M35" s="73">
        <v>45837.0</v>
      </c>
      <c r="N35" s="74" t="s">
        <v>21</v>
      </c>
      <c r="O35" s="75" t="s">
        <v>180</v>
      </c>
      <c r="P35" s="75" t="s">
        <v>180</v>
      </c>
      <c r="Q35" s="75" t="s">
        <v>180</v>
      </c>
    </row>
    <row r="36">
      <c r="A36" s="73">
        <v>45838.0</v>
      </c>
      <c r="B36" s="74" t="s">
        <v>23</v>
      </c>
      <c r="C36" s="76">
        <v>28.0</v>
      </c>
      <c r="D36" s="76" t="s">
        <v>169</v>
      </c>
      <c r="E36" s="76" t="s">
        <v>61</v>
      </c>
      <c r="M36" s="73">
        <v>45838.0</v>
      </c>
      <c r="N36" s="74" t="s">
        <v>23</v>
      </c>
      <c r="O36" s="76">
        <v>100.0</v>
      </c>
      <c r="P36" s="76" t="s">
        <v>170</v>
      </c>
      <c r="Q36" s="76" t="s">
        <v>220</v>
      </c>
    </row>
  </sheetData>
  <conditionalFormatting sqref="C7:E36 O7:Q36">
    <cfRule type="cellIs" dxfId="3" priority="1" operator="equal">
      <formula>"Pix"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75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45839.0</v>
      </c>
      <c r="B7" s="74" t="s">
        <v>25</v>
      </c>
      <c r="C7" s="75" t="s">
        <v>180</v>
      </c>
      <c r="D7" s="75" t="s">
        <v>180</v>
      </c>
      <c r="E7" s="75" t="s">
        <v>180</v>
      </c>
      <c r="G7" s="69">
        <f>K9-K8</f>
        <v>8332.94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45839.0</v>
      </c>
      <c r="N7" s="74" t="s">
        <v>25</v>
      </c>
      <c r="O7" s="75" t="s">
        <v>180</v>
      </c>
      <c r="P7" s="75" t="s">
        <v>180</v>
      </c>
      <c r="Q7" s="75" t="s">
        <v>180</v>
      </c>
    </row>
    <row r="8">
      <c r="A8" s="73">
        <v>45840.0</v>
      </c>
      <c r="B8" s="74" t="s">
        <v>26</v>
      </c>
      <c r="C8" s="75" t="s">
        <v>180</v>
      </c>
      <c r="D8" s="75" t="s">
        <v>180</v>
      </c>
      <c r="E8" s="75" t="s">
        <v>180</v>
      </c>
      <c r="G8" s="70" t="s">
        <v>1</v>
      </c>
      <c r="H8" s="35">
        <f>SUMIF(D7:D39,"Pix",C7:C39)</f>
        <v>980.15</v>
      </c>
      <c r="I8" s="35">
        <f>SUMIF(D7:D39,"Dinheiro F",C7:C39)</f>
        <v>0</v>
      </c>
      <c r="J8" s="35">
        <f>SUMIF(D7:D39,"Cartão",C7:C39)</f>
        <v>149.7</v>
      </c>
      <c r="K8" s="40">
        <f t="shared" ref="K8:K9" si="1">SUM(H8:J8)</f>
        <v>1129.85</v>
      </c>
      <c r="M8" s="73">
        <v>45840.0</v>
      </c>
      <c r="N8" s="74" t="s">
        <v>26</v>
      </c>
      <c r="O8" s="76">
        <v>100.0</v>
      </c>
      <c r="P8" s="76" t="s">
        <v>170</v>
      </c>
      <c r="Q8" s="76" t="s">
        <v>220</v>
      </c>
    </row>
    <row r="9">
      <c r="A9" s="73">
        <v>45841.0</v>
      </c>
      <c r="B9" s="74" t="s">
        <v>27</v>
      </c>
      <c r="C9" s="76">
        <v>88.0</v>
      </c>
      <c r="D9" s="76" t="s">
        <v>169</v>
      </c>
      <c r="E9" s="76" t="s">
        <v>221</v>
      </c>
      <c r="G9" s="71" t="s">
        <v>2</v>
      </c>
      <c r="H9" s="40">
        <f>SUMIF(P7:P39,"Pix",O7:O39)</f>
        <v>0</v>
      </c>
      <c r="I9" s="35">
        <f>SUMIF(P7:P39,"Dinheiro F",O7:O39)</f>
        <v>100</v>
      </c>
      <c r="J9" s="35">
        <f>SUMIF(P7:P39,"Cartão",O7:O39)</f>
        <v>9362.79</v>
      </c>
      <c r="K9" s="40">
        <f t="shared" si="1"/>
        <v>9462.79</v>
      </c>
      <c r="M9" s="73">
        <v>45841.0</v>
      </c>
      <c r="N9" s="74" t="s">
        <v>27</v>
      </c>
      <c r="O9" s="75" t="s">
        <v>180</v>
      </c>
      <c r="P9" s="75" t="s">
        <v>180</v>
      </c>
      <c r="Q9" s="75" t="s">
        <v>180</v>
      </c>
    </row>
    <row r="10">
      <c r="A10" s="73">
        <v>45842.0</v>
      </c>
      <c r="B10" s="74" t="s">
        <v>17</v>
      </c>
      <c r="C10" s="75" t="s">
        <v>180</v>
      </c>
      <c r="D10" s="75" t="s">
        <v>180</v>
      </c>
      <c r="E10" s="75" t="s">
        <v>180</v>
      </c>
      <c r="M10" s="73">
        <v>45842.0</v>
      </c>
      <c r="N10" s="74" t="s">
        <v>17</v>
      </c>
      <c r="O10" s="75" t="s">
        <v>180</v>
      </c>
      <c r="P10" s="75" t="s">
        <v>180</v>
      </c>
      <c r="Q10" s="75" t="s">
        <v>180</v>
      </c>
    </row>
    <row r="11">
      <c r="A11" s="73">
        <v>45843.0</v>
      </c>
      <c r="B11" s="74" t="s">
        <v>19</v>
      </c>
      <c r="C11" s="75" t="s">
        <v>180</v>
      </c>
      <c r="D11" s="75" t="s">
        <v>180</v>
      </c>
      <c r="E11" s="75" t="s">
        <v>180</v>
      </c>
      <c r="M11" s="73">
        <v>45843.0</v>
      </c>
      <c r="N11" s="74" t="s">
        <v>19</v>
      </c>
      <c r="O11" s="75" t="s">
        <v>180</v>
      </c>
      <c r="P11" s="75" t="s">
        <v>180</v>
      </c>
      <c r="Q11" s="75" t="s">
        <v>180</v>
      </c>
    </row>
    <row r="12">
      <c r="A12" s="73">
        <v>45844.0</v>
      </c>
      <c r="B12" s="74" t="s">
        <v>21</v>
      </c>
      <c r="C12" s="76">
        <v>46.0</v>
      </c>
      <c r="D12" s="76" t="s">
        <v>171</v>
      </c>
      <c r="E12" s="76" t="s">
        <v>22</v>
      </c>
      <c r="M12" s="73">
        <v>45844.0</v>
      </c>
      <c r="N12" s="74" t="s">
        <v>21</v>
      </c>
      <c r="O12" s="75" t="s">
        <v>180</v>
      </c>
      <c r="P12" s="75" t="s">
        <v>180</v>
      </c>
      <c r="Q12" s="75" t="s">
        <v>180</v>
      </c>
    </row>
    <row r="13">
      <c r="A13" s="73">
        <v>45845.0</v>
      </c>
      <c r="B13" s="74" t="s">
        <v>23</v>
      </c>
      <c r="C13" s="75" t="s">
        <v>180</v>
      </c>
      <c r="D13" s="75" t="s">
        <v>180</v>
      </c>
      <c r="E13" s="75" t="s">
        <v>180</v>
      </c>
      <c r="M13" s="73">
        <v>45845.0</v>
      </c>
      <c r="N13" s="74" t="s">
        <v>23</v>
      </c>
      <c r="O13" s="75" t="s">
        <v>180</v>
      </c>
      <c r="P13" s="75" t="s">
        <v>180</v>
      </c>
      <c r="Q13" s="75" t="s">
        <v>180</v>
      </c>
    </row>
    <row r="14">
      <c r="A14" s="73">
        <v>45846.0</v>
      </c>
      <c r="B14" s="74" t="s">
        <v>25</v>
      </c>
      <c r="C14" s="75" t="s">
        <v>180</v>
      </c>
      <c r="D14" s="75" t="s">
        <v>180</v>
      </c>
      <c r="E14" s="75" t="s">
        <v>180</v>
      </c>
      <c r="M14" s="73">
        <v>45846.0</v>
      </c>
      <c r="N14" s="74" t="s">
        <v>25</v>
      </c>
      <c r="O14" s="75" t="s">
        <v>180</v>
      </c>
      <c r="P14" s="75" t="s">
        <v>180</v>
      </c>
      <c r="Q14" s="75" t="s">
        <v>180</v>
      </c>
    </row>
    <row r="15">
      <c r="A15" s="73">
        <v>45847.0</v>
      </c>
      <c r="B15" s="74" t="s">
        <v>26</v>
      </c>
      <c r="C15" s="76">
        <v>49.99</v>
      </c>
      <c r="D15" s="76" t="s">
        <v>171</v>
      </c>
      <c r="E15" s="76" t="s">
        <v>222</v>
      </c>
      <c r="M15" s="73">
        <v>45847.0</v>
      </c>
      <c r="N15" s="74" t="s">
        <v>26</v>
      </c>
      <c r="O15" s="75" t="s">
        <v>180</v>
      </c>
      <c r="P15" s="75" t="s">
        <v>180</v>
      </c>
      <c r="Q15" s="75" t="s">
        <v>180</v>
      </c>
    </row>
    <row r="16">
      <c r="A16" s="73">
        <v>45848.0</v>
      </c>
      <c r="B16" s="74" t="s">
        <v>27</v>
      </c>
      <c r="C16" s="76">
        <v>20.69</v>
      </c>
      <c r="D16" s="76" t="s">
        <v>169</v>
      </c>
      <c r="E16" s="76" t="s">
        <v>223</v>
      </c>
      <c r="M16" s="73">
        <v>45848.0</v>
      </c>
      <c r="N16" s="74" t="s">
        <v>27</v>
      </c>
      <c r="O16" s="75" t="s">
        <v>180</v>
      </c>
      <c r="P16" s="75" t="s">
        <v>180</v>
      </c>
      <c r="Q16" s="75" t="s">
        <v>180</v>
      </c>
    </row>
    <row r="17">
      <c r="A17" s="73">
        <v>45849.0</v>
      </c>
      <c r="B17" s="74" t="s">
        <v>17</v>
      </c>
      <c r="C17" s="76">
        <v>30.0</v>
      </c>
      <c r="D17" s="76" t="s">
        <v>169</v>
      </c>
      <c r="E17" s="76" t="s">
        <v>224</v>
      </c>
      <c r="M17" s="73">
        <v>45849.0</v>
      </c>
      <c r="N17" s="74" t="s">
        <v>17</v>
      </c>
      <c r="O17" s="76">
        <v>5291.79</v>
      </c>
      <c r="P17" s="76" t="s">
        <v>171</v>
      </c>
      <c r="Q17" s="76" t="s">
        <v>225</v>
      </c>
    </row>
    <row r="18">
      <c r="A18" s="73">
        <v>45850.0</v>
      </c>
      <c r="B18" s="74" t="s">
        <v>19</v>
      </c>
      <c r="C18" s="75" t="s">
        <v>180</v>
      </c>
      <c r="D18" s="75" t="s">
        <v>180</v>
      </c>
      <c r="E18" s="75" t="s">
        <v>180</v>
      </c>
      <c r="M18" s="73">
        <v>45850.0</v>
      </c>
      <c r="N18" s="74" t="s">
        <v>19</v>
      </c>
      <c r="O18" s="75" t="s">
        <v>180</v>
      </c>
      <c r="P18" s="75" t="s">
        <v>180</v>
      </c>
      <c r="Q18" s="75" t="s">
        <v>180</v>
      </c>
    </row>
    <row r="19">
      <c r="A19" s="73">
        <v>45851.0</v>
      </c>
      <c r="B19" s="74" t="s">
        <v>21</v>
      </c>
      <c r="C19" s="76">
        <v>14.0</v>
      </c>
      <c r="D19" s="76" t="s">
        <v>169</v>
      </c>
      <c r="E19" s="76" t="s">
        <v>226</v>
      </c>
      <c r="M19" s="73">
        <v>45851.0</v>
      </c>
      <c r="N19" s="74" t="s">
        <v>21</v>
      </c>
      <c r="O19" s="75" t="s">
        <v>180</v>
      </c>
      <c r="P19" s="75" t="s">
        <v>180</v>
      </c>
      <c r="Q19" s="75" t="s">
        <v>180</v>
      </c>
    </row>
    <row r="20">
      <c r="A20" s="73">
        <v>45852.0</v>
      </c>
      <c r="B20" s="74" t="s">
        <v>23</v>
      </c>
      <c r="C20" s="76">
        <v>30.0</v>
      </c>
      <c r="D20" s="76" t="s">
        <v>169</v>
      </c>
      <c r="E20" s="76" t="s">
        <v>227</v>
      </c>
      <c r="M20" s="73">
        <v>45852.0</v>
      </c>
      <c r="N20" s="74" t="s">
        <v>23</v>
      </c>
      <c r="O20" s="75" t="s">
        <v>180</v>
      </c>
      <c r="P20" s="75" t="s">
        <v>180</v>
      </c>
      <c r="Q20" s="75" t="s">
        <v>180</v>
      </c>
    </row>
    <row r="21">
      <c r="A21" s="73">
        <v>45853.0</v>
      </c>
      <c r="B21" s="74" t="s">
        <v>25</v>
      </c>
      <c r="C21" s="76">
        <v>85.86</v>
      </c>
      <c r="D21" s="76" t="s">
        <v>169</v>
      </c>
      <c r="E21" s="76" t="s">
        <v>228</v>
      </c>
      <c r="M21" s="73">
        <v>45853.0</v>
      </c>
      <c r="N21" s="74" t="s">
        <v>25</v>
      </c>
      <c r="O21" s="75" t="s">
        <v>180</v>
      </c>
      <c r="P21" s="75" t="s">
        <v>180</v>
      </c>
      <c r="Q21" s="75" t="s">
        <v>180</v>
      </c>
    </row>
    <row r="22">
      <c r="A22" s="73">
        <v>45854.0</v>
      </c>
      <c r="B22" s="74" t="s">
        <v>26</v>
      </c>
      <c r="C22" s="76">
        <v>100.0</v>
      </c>
      <c r="D22" s="76" t="s">
        <v>169</v>
      </c>
      <c r="E22" s="76" t="s">
        <v>29</v>
      </c>
      <c r="M22" s="73">
        <v>45854.0</v>
      </c>
      <c r="N22" s="74" t="s">
        <v>26</v>
      </c>
      <c r="O22" s="75" t="s">
        <v>180</v>
      </c>
      <c r="P22" s="75" t="s">
        <v>180</v>
      </c>
      <c r="Q22" s="75" t="s">
        <v>180</v>
      </c>
    </row>
    <row r="23">
      <c r="A23" s="73">
        <v>45855.0</v>
      </c>
      <c r="B23" s="74" t="s">
        <v>27</v>
      </c>
      <c r="C23" s="75" t="s">
        <v>180</v>
      </c>
      <c r="D23" s="75" t="s">
        <v>180</v>
      </c>
      <c r="E23" s="75" t="s">
        <v>180</v>
      </c>
      <c r="M23" s="73">
        <v>45855.0</v>
      </c>
      <c r="N23" s="74" t="s">
        <v>27</v>
      </c>
      <c r="O23" s="75" t="s">
        <v>180</v>
      </c>
      <c r="P23" s="75" t="s">
        <v>180</v>
      </c>
      <c r="Q23" s="75" t="s">
        <v>180</v>
      </c>
    </row>
    <row r="24">
      <c r="A24" s="73">
        <v>45856.0</v>
      </c>
      <c r="B24" s="74" t="s">
        <v>17</v>
      </c>
      <c r="C24" s="75" t="s">
        <v>180</v>
      </c>
      <c r="D24" s="75" t="s">
        <v>180</v>
      </c>
      <c r="E24" s="75" t="s">
        <v>180</v>
      </c>
      <c r="M24" s="73">
        <v>45856.0</v>
      </c>
      <c r="N24" s="74" t="s">
        <v>17</v>
      </c>
      <c r="O24" s="75" t="s">
        <v>180</v>
      </c>
      <c r="P24" s="75" t="s">
        <v>180</v>
      </c>
      <c r="Q24" s="75" t="s">
        <v>180</v>
      </c>
    </row>
    <row r="25">
      <c r="A25" s="73">
        <v>45857.0</v>
      </c>
      <c r="B25" s="74" t="s">
        <v>19</v>
      </c>
      <c r="C25" s="76">
        <v>500.0</v>
      </c>
      <c r="D25" s="76" t="s">
        <v>169</v>
      </c>
      <c r="E25" s="76" t="s">
        <v>78</v>
      </c>
      <c r="M25" s="73">
        <v>45857.0</v>
      </c>
      <c r="N25" s="74" t="s">
        <v>19</v>
      </c>
      <c r="O25" s="75" t="s">
        <v>180</v>
      </c>
      <c r="P25" s="75" t="s">
        <v>180</v>
      </c>
      <c r="Q25" s="75" t="s">
        <v>180</v>
      </c>
    </row>
    <row r="26">
      <c r="A26" s="73">
        <v>45858.0</v>
      </c>
      <c r="B26" s="74" t="s">
        <v>21</v>
      </c>
      <c r="C26" s="76">
        <v>53.71</v>
      </c>
      <c r="D26" s="76" t="s">
        <v>171</v>
      </c>
      <c r="E26" s="76" t="s">
        <v>229</v>
      </c>
      <c r="M26" s="73">
        <v>45858.0</v>
      </c>
      <c r="N26" s="74" t="s">
        <v>21</v>
      </c>
      <c r="O26" s="75" t="s">
        <v>180</v>
      </c>
      <c r="P26" s="75" t="s">
        <v>180</v>
      </c>
      <c r="Q26" s="75" t="s">
        <v>180</v>
      </c>
    </row>
    <row r="27">
      <c r="A27" s="73">
        <v>45859.0</v>
      </c>
      <c r="B27" s="74" t="s">
        <v>23</v>
      </c>
      <c r="C27" s="76">
        <v>11.6</v>
      </c>
      <c r="D27" s="76" t="s">
        <v>169</v>
      </c>
      <c r="E27" s="76" t="s">
        <v>230</v>
      </c>
      <c r="M27" s="73">
        <v>45859.0</v>
      </c>
      <c r="N27" s="74" t="s">
        <v>23</v>
      </c>
      <c r="O27" s="75" t="s">
        <v>180</v>
      </c>
      <c r="P27" s="75" t="s">
        <v>180</v>
      </c>
      <c r="Q27" s="75" t="s">
        <v>180</v>
      </c>
    </row>
    <row r="28">
      <c r="A28" s="73">
        <v>45860.0</v>
      </c>
      <c r="B28" s="74" t="s">
        <v>25</v>
      </c>
      <c r="C28" s="75" t="s">
        <v>180</v>
      </c>
      <c r="D28" s="75" t="s">
        <v>180</v>
      </c>
      <c r="E28" s="75" t="s">
        <v>180</v>
      </c>
      <c r="M28" s="73">
        <v>45860.0</v>
      </c>
      <c r="N28" s="74" t="s">
        <v>25</v>
      </c>
      <c r="O28" s="76">
        <v>4071.0</v>
      </c>
      <c r="P28" s="76" t="s">
        <v>171</v>
      </c>
      <c r="Q28" s="76" t="s">
        <v>231</v>
      </c>
    </row>
    <row r="29">
      <c r="A29" s="73">
        <v>45861.0</v>
      </c>
      <c r="B29" s="74" t="s">
        <v>26</v>
      </c>
      <c r="C29" s="75" t="s">
        <v>180</v>
      </c>
      <c r="D29" s="75" t="s">
        <v>180</v>
      </c>
      <c r="E29" s="75" t="s">
        <v>180</v>
      </c>
      <c r="M29" s="73">
        <v>45861.0</v>
      </c>
      <c r="N29" s="74" t="s">
        <v>26</v>
      </c>
      <c r="O29" s="75" t="s">
        <v>180</v>
      </c>
      <c r="P29" s="75" t="s">
        <v>180</v>
      </c>
      <c r="Q29" s="75" t="s">
        <v>180</v>
      </c>
    </row>
    <row r="30">
      <c r="A30" s="73">
        <v>45862.0</v>
      </c>
      <c r="B30" s="74" t="s">
        <v>27</v>
      </c>
      <c r="C30" s="75" t="s">
        <v>180</v>
      </c>
      <c r="D30" s="75" t="s">
        <v>180</v>
      </c>
      <c r="E30" s="75" t="s">
        <v>180</v>
      </c>
      <c r="M30" s="73">
        <v>45862.0</v>
      </c>
      <c r="N30" s="74" t="s">
        <v>27</v>
      </c>
      <c r="O30" s="75" t="s">
        <v>180</v>
      </c>
      <c r="P30" s="75" t="s">
        <v>180</v>
      </c>
      <c r="Q30" s="75" t="s">
        <v>180</v>
      </c>
    </row>
    <row r="31">
      <c r="A31" s="73">
        <v>45863.0</v>
      </c>
      <c r="B31" s="74" t="s">
        <v>17</v>
      </c>
      <c r="C31" s="76">
        <v>50.0</v>
      </c>
      <c r="D31" s="76" t="s">
        <v>169</v>
      </c>
      <c r="E31" s="76" t="s">
        <v>232</v>
      </c>
      <c r="M31" s="73">
        <v>45863.0</v>
      </c>
      <c r="N31" s="74" t="s">
        <v>17</v>
      </c>
      <c r="O31" s="75" t="s">
        <v>180</v>
      </c>
      <c r="P31" s="75" t="s">
        <v>180</v>
      </c>
      <c r="Q31" s="75" t="s">
        <v>180</v>
      </c>
    </row>
    <row r="32">
      <c r="A32" s="73">
        <v>45864.0</v>
      </c>
      <c r="B32" s="74" t="s">
        <v>19</v>
      </c>
      <c r="C32" s="76">
        <v>50.0</v>
      </c>
      <c r="D32" s="76" t="s">
        <v>169</v>
      </c>
      <c r="E32" s="76" t="s">
        <v>29</v>
      </c>
      <c r="M32" s="73">
        <v>45864.0</v>
      </c>
      <c r="N32" s="74" t="s">
        <v>19</v>
      </c>
      <c r="O32" s="75" t="s">
        <v>180</v>
      </c>
      <c r="P32" s="75" t="s">
        <v>180</v>
      </c>
      <c r="Q32" s="75" t="s">
        <v>180</v>
      </c>
    </row>
    <row r="33">
      <c r="A33" s="73">
        <v>45865.0</v>
      </c>
      <c r="B33" s="74" t="s">
        <v>21</v>
      </c>
      <c r="C33" s="75" t="s">
        <v>180</v>
      </c>
      <c r="D33" s="75" t="s">
        <v>180</v>
      </c>
      <c r="E33" s="75" t="s">
        <v>180</v>
      </c>
      <c r="M33" s="73">
        <v>45865.0</v>
      </c>
      <c r="N33" s="74" t="s">
        <v>21</v>
      </c>
      <c r="O33" s="75" t="s">
        <v>180</v>
      </c>
      <c r="P33" s="75" t="s">
        <v>180</v>
      </c>
      <c r="Q33" s="75" t="s">
        <v>180</v>
      </c>
    </row>
    <row r="34">
      <c r="A34" s="73">
        <v>45866.0</v>
      </c>
      <c r="B34" s="74" t="s">
        <v>23</v>
      </c>
      <c r="C34" s="75" t="s">
        <v>180</v>
      </c>
      <c r="D34" s="75" t="s">
        <v>180</v>
      </c>
      <c r="E34" s="75" t="s">
        <v>180</v>
      </c>
      <c r="M34" s="73">
        <v>45866.0</v>
      </c>
      <c r="N34" s="74" t="s">
        <v>23</v>
      </c>
      <c r="O34" s="75" t="s">
        <v>180</v>
      </c>
      <c r="P34" s="75" t="s">
        <v>180</v>
      </c>
      <c r="Q34" s="75" t="s">
        <v>180</v>
      </c>
    </row>
    <row r="35">
      <c r="A35" s="73">
        <v>45867.0</v>
      </c>
      <c r="B35" s="74" t="s">
        <v>25</v>
      </c>
      <c r="C35" s="75" t="s">
        <v>180</v>
      </c>
      <c r="D35" s="75" t="s">
        <v>180</v>
      </c>
      <c r="E35" s="75" t="s">
        <v>180</v>
      </c>
      <c r="M35" s="73">
        <v>45867.0</v>
      </c>
      <c r="N35" s="74" t="s">
        <v>25</v>
      </c>
      <c r="O35" s="75" t="s">
        <v>180</v>
      </c>
      <c r="P35" s="75" t="s">
        <v>180</v>
      </c>
      <c r="Q35" s="75" t="s">
        <v>180</v>
      </c>
    </row>
    <row r="36">
      <c r="A36" s="73">
        <v>45868.0</v>
      </c>
      <c r="B36" s="74" t="s">
        <v>26</v>
      </c>
      <c r="C36" s="75" t="s">
        <v>180</v>
      </c>
      <c r="D36" s="75" t="s">
        <v>180</v>
      </c>
      <c r="E36" s="75" t="s">
        <v>180</v>
      </c>
      <c r="M36" s="73">
        <v>45868.0</v>
      </c>
      <c r="N36" s="74" t="s">
        <v>26</v>
      </c>
      <c r="O36" s="75" t="s">
        <v>180</v>
      </c>
      <c r="P36" s="75" t="s">
        <v>180</v>
      </c>
      <c r="Q36" s="75" t="s">
        <v>180</v>
      </c>
    </row>
    <row r="37">
      <c r="A37" s="73">
        <v>45869.0</v>
      </c>
      <c r="B37" s="74" t="s">
        <v>27</v>
      </c>
      <c r="C37" s="75" t="s">
        <v>180</v>
      </c>
      <c r="D37" s="75" t="s">
        <v>180</v>
      </c>
      <c r="E37" s="75" t="s">
        <v>180</v>
      </c>
      <c r="M37" s="73">
        <v>45869.0</v>
      </c>
      <c r="N37" s="74" t="s">
        <v>27</v>
      </c>
      <c r="O37" s="75" t="s">
        <v>180</v>
      </c>
      <c r="P37" s="75" t="s">
        <v>180</v>
      </c>
      <c r="Q37" s="75" t="s">
        <v>180</v>
      </c>
    </row>
  </sheetData>
  <conditionalFormatting sqref="C7:E37 O7:Q37">
    <cfRule type="cellIs" dxfId="3" priority="1" operator="equal">
      <formula>"Pix"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5"/>
    <col customWidth="1" min="17" max="17" width="16.13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45870.0</v>
      </c>
      <c r="B7" s="74" t="s">
        <v>233</v>
      </c>
      <c r="C7" s="75" t="s">
        <v>180</v>
      </c>
      <c r="D7" s="75" t="s">
        <v>180</v>
      </c>
      <c r="E7" s="75" t="s">
        <v>180</v>
      </c>
      <c r="G7" s="69">
        <f>K9-K8</f>
        <v>-525.82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45870.0</v>
      </c>
      <c r="N7" s="74" t="s">
        <v>233</v>
      </c>
      <c r="O7" s="75" t="s">
        <v>180</v>
      </c>
      <c r="P7" s="75" t="s">
        <v>180</v>
      </c>
      <c r="Q7" s="75" t="s">
        <v>180</v>
      </c>
    </row>
    <row r="8">
      <c r="A8" s="73">
        <v>45871.0</v>
      </c>
      <c r="B8" s="74" t="s">
        <v>19</v>
      </c>
      <c r="C8" s="76">
        <v>48.0</v>
      </c>
      <c r="D8" s="76" t="s">
        <v>169</v>
      </c>
      <c r="E8" s="76" t="s">
        <v>234</v>
      </c>
      <c r="G8" s="70" t="s">
        <v>1</v>
      </c>
      <c r="H8" s="35">
        <f>SUMIF(D7:D43,"Pix",C7:C43)</f>
        <v>2337.82</v>
      </c>
      <c r="I8" s="35">
        <f>SUMIF(D7:D43,"Dinheiro F",C7:C43)</f>
        <v>68</v>
      </c>
      <c r="J8" s="35">
        <f>SUMIF(D7:D43,"Cartão",C7:C43)</f>
        <v>0</v>
      </c>
      <c r="K8" s="40">
        <f t="shared" ref="K8:K9" si="1">SUM(H8:J8)</f>
        <v>2405.82</v>
      </c>
      <c r="M8" s="73">
        <v>45871.0</v>
      </c>
      <c r="N8" s="74" t="s">
        <v>19</v>
      </c>
      <c r="O8" s="75" t="s">
        <v>180</v>
      </c>
      <c r="P8" s="75" t="s">
        <v>180</v>
      </c>
      <c r="Q8" s="75" t="s">
        <v>180</v>
      </c>
    </row>
    <row r="9">
      <c r="A9" s="73">
        <v>45872.0</v>
      </c>
      <c r="B9" s="74" t="s">
        <v>21</v>
      </c>
      <c r="C9" s="76">
        <v>120.0</v>
      </c>
      <c r="D9" s="76" t="s">
        <v>169</v>
      </c>
      <c r="E9" s="76" t="s">
        <v>29</v>
      </c>
      <c r="G9" s="71" t="s">
        <v>2</v>
      </c>
      <c r="H9" s="40">
        <f>SUMIF(P7:P43,"Pix",O7:O43)</f>
        <v>0</v>
      </c>
      <c r="I9" s="35">
        <f>SUMIF(P7:P43,"Dinheiro F",O7:O43)</f>
        <v>1880</v>
      </c>
      <c r="J9" s="35">
        <f>SUMIF(P7:P43,"Cartão",O7:O43)</f>
        <v>0</v>
      </c>
      <c r="K9" s="40">
        <f t="shared" si="1"/>
        <v>1880</v>
      </c>
      <c r="M9" s="73">
        <v>45872.0</v>
      </c>
      <c r="N9" s="74" t="s">
        <v>21</v>
      </c>
      <c r="O9" s="75" t="s">
        <v>180</v>
      </c>
      <c r="P9" s="75" t="s">
        <v>180</v>
      </c>
      <c r="Q9" s="75" t="s">
        <v>180</v>
      </c>
    </row>
    <row r="10">
      <c r="A10" s="73">
        <v>45873.0</v>
      </c>
      <c r="B10" s="74" t="s">
        <v>23</v>
      </c>
      <c r="C10" s="75" t="s">
        <v>180</v>
      </c>
      <c r="D10" s="75" t="s">
        <v>180</v>
      </c>
      <c r="E10" s="75" t="s">
        <v>180</v>
      </c>
      <c r="M10" s="73">
        <v>45873.0</v>
      </c>
      <c r="N10" s="74" t="s">
        <v>23</v>
      </c>
      <c r="O10" s="75" t="s">
        <v>180</v>
      </c>
      <c r="P10" s="75" t="s">
        <v>180</v>
      </c>
      <c r="Q10" s="75" t="s">
        <v>180</v>
      </c>
    </row>
    <row r="11">
      <c r="A11" s="73">
        <v>45874.0</v>
      </c>
      <c r="B11" s="74" t="s">
        <v>25</v>
      </c>
      <c r="C11" s="76">
        <v>27.0</v>
      </c>
      <c r="D11" s="76" t="s">
        <v>169</v>
      </c>
      <c r="E11" s="76" t="s">
        <v>22</v>
      </c>
      <c r="M11" s="73">
        <v>45874.0</v>
      </c>
      <c r="N11" s="74" t="s">
        <v>25</v>
      </c>
      <c r="O11" s="75" t="s">
        <v>180</v>
      </c>
      <c r="P11" s="75" t="s">
        <v>180</v>
      </c>
      <c r="Q11" s="75" t="s">
        <v>180</v>
      </c>
    </row>
    <row r="12">
      <c r="A12" s="73">
        <v>45875.0</v>
      </c>
      <c r="B12" s="74" t="s">
        <v>26</v>
      </c>
      <c r="C12" s="75" t="s">
        <v>180</v>
      </c>
      <c r="D12" s="75" t="s">
        <v>180</v>
      </c>
      <c r="E12" s="75" t="s">
        <v>180</v>
      </c>
      <c r="M12" s="73">
        <v>45875.0</v>
      </c>
      <c r="N12" s="74" t="s">
        <v>26</v>
      </c>
      <c r="O12" s="75" t="s">
        <v>180</v>
      </c>
      <c r="P12" s="75" t="s">
        <v>180</v>
      </c>
      <c r="Q12" s="75" t="s">
        <v>180</v>
      </c>
    </row>
    <row r="13">
      <c r="A13" s="73">
        <v>45876.0</v>
      </c>
      <c r="B13" s="74" t="s">
        <v>27</v>
      </c>
      <c r="C13" s="75" t="s">
        <v>180</v>
      </c>
      <c r="D13" s="75" t="s">
        <v>180</v>
      </c>
      <c r="E13" s="75" t="s">
        <v>180</v>
      </c>
      <c r="M13" s="73">
        <v>45876.0</v>
      </c>
      <c r="N13" s="74" t="s">
        <v>27</v>
      </c>
      <c r="O13" s="75" t="s">
        <v>180</v>
      </c>
      <c r="P13" s="75" t="s">
        <v>180</v>
      </c>
      <c r="Q13" s="75" t="s">
        <v>180</v>
      </c>
    </row>
    <row r="14">
      <c r="A14" s="73">
        <v>45877.0</v>
      </c>
      <c r="B14" s="74" t="s">
        <v>17</v>
      </c>
      <c r="C14" s="75" t="s">
        <v>180</v>
      </c>
      <c r="D14" s="75" t="s">
        <v>180</v>
      </c>
      <c r="E14" s="75" t="s">
        <v>180</v>
      </c>
      <c r="M14" s="73">
        <v>45877.0</v>
      </c>
      <c r="N14" s="74" t="s">
        <v>17</v>
      </c>
      <c r="O14" s="75" t="s">
        <v>180</v>
      </c>
      <c r="P14" s="75" t="s">
        <v>180</v>
      </c>
      <c r="Q14" s="75" t="s">
        <v>180</v>
      </c>
    </row>
    <row r="15">
      <c r="A15" s="73">
        <v>45878.0</v>
      </c>
      <c r="B15" s="74" t="s">
        <v>19</v>
      </c>
      <c r="C15" s="75" t="s">
        <v>180</v>
      </c>
      <c r="D15" s="75" t="s">
        <v>180</v>
      </c>
      <c r="E15" s="75" t="s">
        <v>180</v>
      </c>
      <c r="M15" s="73">
        <v>45878.0</v>
      </c>
      <c r="N15" s="74" t="s">
        <v>19</v>
      </c>
      <c r="O15" s="75" t="s">
        <v>180</v>
      </c>
      <c r="P15" s="75" t="s">
        <v>180</v>
      </c>
      <c r="Q15" s="75" t="s">
        <v>180</v>
      </c>
    </row>
    <row r="16">
      <c r="A16" s="73">
        <v>45879.0</v>
      </c>
      <c r="B16" s="74" t="s">
        <v>21</v>
      </c>
      <c r="C16" s="75" t="s">
        <v>180</v>
      </c>
      <c r="D16" s="75" t="s">
        <v>180</v>
      </c>
      <c r="E16" s="75" t="s">
        <v>180</v>
      </c>
      <c r="M16" s="73">
        <v>45879.0</v>
      </c>
      <c r="N16" s="74" t="s">
        <v>21</v>
      </c>
      <c r="O16" s="75" t="s">
        <v>180</v>
      </c>
      <c r="P16" s="75" t="s">
        <v>180</v>
      </c>
      <c r="Q16" s="75" t="s">
        <v>180</v>
      </c>
    </row>
    <row r="17">
      <c r="A17" s="73">
        <v>45880.0</v>
      </c>
      <c r="B17" s="74" t="s">
        <v>23</v>
      </c>
      <c r="C17" s="75" t="s">
        <v>180</v>
      </c>
      <c r="D17" s="75" t="s">
        <v>180</v>
      </c>
      <c r="E17" s="75" t="s">
        <v>180</v>
      </c>
      <c r="M17" s="73">
        <v>45880.0</v>
      </c>
      <c r="N17" s="74" t="s">
        <v>23</v>
      </c>
      <c r="O17" s="75" t="s">
        <v>180</v>
      </c>
      <c r="P17" s="75" t="s">
        <v>180</v>
      </c>
      <c r="Q17" s="75" t="s">
        <v>180</v>
      </c>
    </row>
    <row r="18">
      <c r="A18" s="73">
        <v>45881.0</v>
      </c>
      <c r="B18" s="74" t="s">
        <v>25</v>
      </c>
      <c r="C18" s="75" t="s">
        <v>180</v>
      </c>
      <c r="D18" s="75" t="s">
        <v>180</v>
      </c>
      <c r="E18" s="75" t="s">
        <v>180</v>
      </c>
      <c r="M18" s="73">
        <v>45881.0</v>
      </c>
      <c r="N18" s="74" t="s">
        <v>25</v>
      </c>
      <c r="O18" s="75" t="s">
        <v>180</v>
      </c>
      <c r="P18" s="75" t="s">
        <v>180</v>
      </c>
      <c r="Q18" s="75" t="s">
        <v>180</v>
      </c>
    </row>
    <row r="19">
      <c r="A19" s="73">
        <v>45882.0</v>
      </c>
      <c r="B19" s="74" t="s">
        <v>26</v>
      </c>
      <c r="C19" s="75" t="s">
        <v>180</v>
      </c>
      <c r="D19" s="75" t="s">
        <v>180</v>
      </c>
      <c r="E19" s="75" t="s">
        <v>180</v>
      </c>
      <c r="M19" s="73">
        <v>45882.0</v>
      </c>
      <c r="N19" s="74" t="s">
        <v>26</v>
      </c>
      <c r="O19" s="75" t="s">
        <v>180</v>
      </c>
      <c r="P19" s="75" t="s">
        <v>180</v>
      </c>
      <c r="Q19" s="75" t="s">
        <v>180</v>
      </c>
    </row>
    <row r="20">
      <c r="A20" s="73">
        <v>45883.0</v>
      </c>
      <c r="B20" s="74" t="s">
        <v>27</v>
      </c>
      <c r="C20" s="76">
        <v>17.0</v>
      </c>
      <c r="D20" s="76" t="s">
        <v>169</v>
      </c>
      <c r="E20" s="76" t="s">
        <v>40</v>
      </c>
      <c r="M20" s="73">
        <v>45883.0</v>
      </c>
      <c r="N20" s="74" t="s">
        <v>27</v>
      </c>
      <c r="O20" s="75" t="s">
        <v>180</v>
      </c>
      <c r="P20" s="75" t="s">
        <v>180</v>
      </c>
      <c r="Q20" s="75" t="s">
        <v>180</v>
      </c>
    </row>
    <row r="21">
      <c r="A21" s="73">
        <v>45884.0</v>
      </c>
      <c r="B21" s="74" t="s">
        <v>17</v>
      </c>
      <c r="C21" s="75" t="s">
        <v>180</v>
      </c>
      <c r="D21" s="75" t="s">
        <v>180</v>
      </c>
      <c r="E21" s="75" t="s">
        <v>180</v>
      </c>
      <c r="M21" s="73">
        <v>45884.0</v>
      </c>
      <c r="N21" s="74" t="s">
        <v>17</v>
      </c>
      <c r="O21" s="75" t="s">
        <v>180</v>
      </c>
      <c r="P21" s="75" t="s">
        <v>180</v>
      </c>
      <c r="Q21" s="75" t="s">
        <v>180</v>
      </c>
    </row>
    <row r="22">
      <c r="A22" s="73">
        <v>45885.0</v>
      </c>
      <c r="B22" s="74" t="s">
        <v>19</v>
      </c>
      <c r="C22" s="75" t="s">
        <v>180</v>
      </c>
      <c r="D22" s="75" t="s">
        <v>180</v>
      </c>
      <c r="E22" s="75" t="s">
        <v>180</v>
      </c>
      <c r="M22" s="73">
        <v>45885.0</v>
      </c>
      <c r="N22" s="74" t="s">
        <v>19</v>
      </c>
      <c r="O22" s="75" t="s">
        <v>180</v>
      </c>
      <c r="P22" s="75" t="s">
        <v>180</v>
      </c>
      <c r="Q22" s="75" t="s">
        <v>180</v>
      </c>
    </row>
    <row r="23">
      <c r="A23" s="73">
        <v>45886.0</v>
      </c>
      <c r="B23" s="74" t="s">
        <v>21</v>
      </c>
      <c r="C23" s="75" t="s">
        <v>180</v>
      </c>
      <c r="D23" s="75" t="s">
        <v>180</v>
      </c>
      <c r="E23" s="75" t="s">
        <v>180</v>
      </c>
      <c r="M23" s="73">
        <v>45886.0</v>
      </c>
      <c r="N23" s="74" t="s">
        <v>21</v>
      </c>
      <c r="O23" s="75" t="s">
        <v>180</v>
      </c>
      <c r="P23" s="75" t="s">
        <v>180</v>
      </c>
      <c r="Q23" s="75" t="s">
        <v>180</v>
      </c>
    </row>
    <row r="24">
      <c r="A24" s="73">
        <v>45887.0</v>
      </c>
      <c r="B24" s="74" t="s">
        <v>23</v>
      </c>
      <c r="C24" s="76">
        <v>30.0</v>
      </c>
      <c r="D24" s="76" t="s">
        <v>169</v>
      </c>
      <c r="E24" s="76" t="s">
        <v>31</v>
      </c>
      <c r="M24" s="73">
        <v>45887.0</v>
      </c>
      <c r="N24" s="74" t="s">
        <v>23</v>
      </c>
      <c r="O24" s="75" t="s">
        <v>180</v>
      </c>
      <c r="P24" s="75" t="s">
        <v>180</v>
      </c>
      <c r="Q24" s="75" t="s">
        <v>180</v>
      </c>
    </row>
    <row r="25">
      <c r="A25" s="73">
        <v>45888.0</v>
      </c>
      <c r="B25" s="74" t="s">
        <v>25</v>
      </c>
      <c r="C25" s="76">
        <v>100.0</v>
      </c>
      <c r="D25" s="76" t="s">
        <v>169</v>
      </c>
      <c r="E25" s="76" t="s">
        <v>235</v>
      </c>
      <c r="M25" s="73">
        <v>45888.0</v>
      </c>
      <c r="N25" s="74" t="s">
        <v>25</v>
      </c>
      <c r="O25" s="75" t="s">
        <v>180</v>
      </c>
      <c r="P25" s="75" t="s">
        <v>180</v>
      </c>
      <c r="Q25" s="75" t="s">
        <v>180</v>
      </c>
    </row>
    <row r="26">
      <c r="A26" s="73">
        <v>45888.0</v>
      </c>
      <c r="B26" s="74" t="s">
        <v>25</v>
      </c>
      <c r="C26" s="76">
        <v>80.0</v>
      </c>
      <c r="D26" s="76" t="s">
        <v>169</v>
      </c>
      <c r="E26" s="76" t="s">
        <v>236</v>
      </c>
      <c r="M26" s="73">
        <v>45888.0</v>
      </c>
      <c r="N26" s="74" t="s">
        <v>25</v>
      </c>
      <c r="O26" s="76" t="s">
        <v>180</v>
      </c>
      <c r="P26" s="76" t="s">
        <v>180</v>
      </c>
      <c r="Q26" s="76" t="s">
        <v>180</v>
      </c>
    </row>
    <row r="27">
      <c r="A27" s="73">
        <v>45889.0</v>
      </c>
      <c r="B27" s="74" t="s">
        <v>26</v>
      </c>
      <c r="C27" s="76">
        <v>500.0</v>
      </c>
      <c r="D27" s="76" t="s">
        <v>169</v>
      </c>
      <c r="E27" s="76" t="s">
        <v>78</v>
      </c>
      <c r="M27" s="73">
        <v>45889.0</v>
      </c>
      <c r="N27" s="74" t="s">
        <v>26</v>
      </c>
      <c r="O27" s="75" t="s">
        <v>180</v>
      </c>
      <c r="P27" s="75" t="s">
        <v>180</v>
      </c>
      <c r="Q27" s="75" t="s">
        <v>180</v>
      </c>
    </row>
    <row r="28">
      <c r="A28" s="73">
        <v>45890.0</v>
      </c>
      <c r="B28" s="74" t="s">
        <v>27</v>
      </c>
      <c r="C28" s="76">
        <v>424.06</v>
      </c>
      <c r="D28" s="76" t="s">
        <v>169</v>
      </c>
      <c r="E28" s="76" t="s">
        <v>237</v>
      </c>
      <c r="M28" s="73">
        <v>45890.0</v>
      </c>
      <c r="N28" s="74" t="s">
        <v>27</v>
      </c>
      <c r="O28" s="76">
        <v>1880.0</v>
      </c>
      <c r="P28" s="76" t="s">
        <v>170</v>
      </c>
      <c r="Q28" s="76" t="s">
        <v>238</v>
      </c>
    </row>
    <row r="29">
      <c r="A29" s="73">
        <v>45890.0</v>
      </c>
      <c r="B29" s="74" t="s">
        <v>27</v>
      </c>
      <c r="C29" s="76">
        <v>384.74</v>
      </c>
      <c r="D29" s="76" t="s">
        <v>169</v>
      </c>
      <c r="E29" s="76" t="s">
        <v>239</v>
      </c>
      <c r="M29" s="73">
        <v>45890.0</v>
      </c>
      <c r="N29" s="74" t="s">
        <v>27</v>
      </c>
      <c r="O29" s="75" t="s">
        <v>180</v>
      </c>
      <c r="P29" s="75" t="s">
        <v>180</v>
      </c>
      <c r="Q29" s="75" t="s">
        <v>180</v>
      </c>
    </row>
    <row r="30">
      <c r="A30" s="73">
        <v>45890.0</v>
      </c>
      <c r="B30" s="74" t="s">
        <v>27</v>
      </c>
      <c r="C30" s="76">
        <v>28.0</v>
      </c>
      <c r="D30" s="76" t="s">
        <v>170</v>
      </c>
      <c r="E30" s="76" t="s">
        <v>61</v>
      </c>
      <c r="M30" s="73">
        <v>45890.0</v>
      </c>
      <c r="N30" s="74" t="s">
        <v>27</v>
      </c>
      <c r="O30" s="76" t="s">
        <v>180</v>
      </c>
      <c r="P30" s="76" t="s">
        <v>180</v>
      </c>
      <c r="Q30" s="76" t="s">
        <v>180</v>
      </c>
    </row>
    <row r="31">
      <c r="A31" s="73">
        <v>45891.0</v>
      </c>
      <c r="B31" s="74" t="s">
        <v>17</v>
      </c>
      <c r="C31" s="76">
        <v>16.78</v>
      </c>
      <c r="D31" s="76" t="s">
        <v>169</v>
      </c>
      <c r="E31" s="76" t="s">
        <v>200</v>
      </c>
      <c r="M31" s="73">
        <v>45891.0</v>
      </c>
      <c r="N31" s="74" t="s">
        <v>17</v>
      </c>
      <c r="O31" s="75" t="s">
        <v>180</v>
      </c>
      <c r="P31" s="75" t="s">
        <v>180</v>
      </c>
      <c r="Q31" s="75" t="s">
        <v>180</v>
      </c>
    </row>
    <row r="32">
      <c r="A32" s="73">
        <v>45892.0</v>
      </c>
      <c r="B32" s="74" t="s">
        <v>19</v>
      </c>
      <c r="C32" s="76">
        <v>44.5</v>
      </c>
      <c r="D32" s="76" t="s">
        <v>169</v>
      </c>
      <c r="E32" s="76" t="s">
        <v>214</v>
      </c>
      <c r="M32" s="73">
        <v>45892.0</v>
      </c>
      <c r="N32" s="74" t="s">
        <v>19</v>
      </c>
      <c r="O32" s="75" t="s">
        <v>180</v>
      </c>
      <c r="P32" s="75" t="s">
        <v>180</v>
      </c>
      <c r="Q32" s="75" t="s">
        <v>180</v>
      </c>
    </row>
    <row r="33">
      <c r="A33" s="73">
        <v>45893.0</v>
      </c>
      <c r="B33" s="74" t="s">
        <v>21</v>
      </c>
      <c r="C33" s="76">
        <v>200.0</v>
      </c>
      <c r="D33" s="76" t="s">
        <v>169</v>
      </c>
      <c r="E33" s="76" t="s">
        <v>29</v>
      </c>
      <c r="M33" s="73">
        <v>45893.0</v>
      </c>
      <c r="N33" s="74" t="s">
        <v>21</v>
      </c>
      <c r="O33" s="75" t="s">
        <v>180</v>
      </c>
      <c r="P33" s="75" t="s">
        <v>180</v>
      </c>
      <c r="Q33" s="75" t="s">
        <v>180</v>
      </c>
    </row>
    <row r="34">
      <c r="A34" s="73">
        <v>45893.0</v>
      </c>
      <c r="B34" s="74" t="s">
        <v>21</v>
      </c>
      <c r="C34" s="76">
        <v>120.0</v>
      </c>
      <c r="D34" s="76" t="s">
        <v>169</v>
      </c>
      <c r="E34" s="76" t="s">
        <v>240</v>
      </c>
      <c r="M34" s="73">
        <v>45893.0</v>
      </c>
      <c r="N34" s="74" t="s">
        <v>21</v>
      </c>
      <c r="O34" s="76" t="s">
        <v>180</v>
      </c>
      <c r="P34" s="76" t="s">
        <v>180</v>
      </c>
      <c r="Q34" s="76" t="s">
        <v>180</v>
      </c>
    </row>
    <row r="35">
      <c r="A35" s="73">
        <v>45894.0</v>
      </c>
      <c r="B35" s="74" t="s">
        <v>23</v>
      </c>
      <c r="C35" s="76">
        <v>58.0</v>
      </c>
      <c r="D35" s="76" t="s">
        <v>169</v>
      </c>
      <c r="E35" s="76" t="s">
        <v>241</v>
      </c>
      <c r="M35" s="73">
        <v>45894.0</v>
      </c>
      <c r="N35" s="74" t="s">
        <v>23</v>
      </c>
      <c r="O35" s="75" t="s">
        <v>180</v>
      </c>
      <c r="P35" s="75" t="s">
        <v>180</v>
      </c>
      <c r="Q35" s="75" t="s">
        <v>180</v>
      </c>
    </row>
    <row r="36">
      <c r="A36" s="73">
        <v>45895.0</v>
      </c>
      <c r="B36" s="74" t="s">
        <v>25</v>
      </c>
      <c r="C36" s="76" t="s">
        <v>180</v>
      </c>
      <c r="D36" s="75" t="s">
        <v>180</v>
      </c>
      <c r="E36" s="75" t="s">
        <v>180</v>
      </c>
      <c r="M36" s="73">
        <v>45895.0</v>
      </c>
      <c r="N36" s="74" t="s">
        <v>25</v>
      </c>
      <c r="O36" s="75" t="s">
        <v>180</v>
      </c>
      <c r="P36" s="75" t="s">
        <v>180</v>
      </c>
      <c r="Q36" s="75" t="s">
        <v>180</v>
      </c>
    </row>
    <row r="37">
      <c r="A37" s="73">
        <v>45896.0</v>
      </c>
      <c r="B37" s="74" t="s">
        <v>26</v>
      </c>
      <c r="C37" s="76">
        <v>50.0</v>
      </c>
      <c r="D37" s="76" t="s">
        <v>169</v>
      </c>
      <c r="E37" s="76" t="s">
        <v>29</v>
      </c>
      <c r="M37" s="73">
        <v>45896.0</v>
      </c>
      <c r="N37" s="74" t="s">
        <v>26</v>
      </c>
      <c r="O37" s="75" t="s">
        <v>180</v>
      </c>
      <c r="P37" s="75" t="s">
        <v>180</v>
      </c>
      <c r="Q37" s="75" t="s">
        <v>180</v>
      </c>
    </row>
    <row r="38">
      <c r="A38" s="73">
        <v>45897.0</v>
      </c>
      <c r="B38" s="74" t="s">
        <v>27</v>
      </c>
      <c r="C38" s="76">
        <v>17.74</v>
      </c>
      <c r="D38" s="76" t="s">
        <v>169</v>
      </c>
      <c r="E38" s="76" t="s">
        <v>242</v>
      </c>
      <c r="M38" s="73">
        <v>45897.0</v>
      </c>
      <c r="N38" s="74" t="s">
        <v>27</v>
      </c>
      <c r="O38" s="75" t="s">
        <v>180</v>
      </c>
      <c r="P38" s="75" t="s">
        <v>180</v>
      </c>
      <c r="Q38" s="75" t="s">
        <v>180</v>
      </c>
    </row>
    <row r="39">
      <c r="A39" s="73">
        <v>45898.0</v>
      </c>
      <c r="B39" s="74" t="s">
        <v>17</v>
      </c>
      <c r="C39" s="76">
        <v>100.0</v>
      </c>
      <c r="D39" s="76" t="s">
        <v>169</v>
      </c>
      <c r="E39" s="76" t="s">
        <v>235</v>
      </c>
      <c r="M39" s="73">
        <v>45898.0</v>
      </c>
      <c r="N39" s="74" t="s">
        <v>17</v>
      </c>
      <c r="O39" s="75" t="s">
        <v>180</v>
      </c>
      <c r="P39" s="75" t="s">
        <v>180</v>
      </c>
      <c r="Q39" s="75" t="s">
        <v>180</v>
      </c>
    </row>
    <row r="40">
      <c r="A40" s="73">
        <v>45899.0</v>
      </c>
      <c r="B40" s="74" t="s">
        <v>19</v>
      </c>
      <c r="C40" s="75" t="s">
        <v>180</v>
      </c>
      <c r="D40" s="75" t="s">
        <v>180</v>
      </c>
      <c r="E40" s="75" t="s">
        <v>180</v>
      </c>
      <c r="M40" s="73">
        <v>45899.0</v>
      </c>
      <c r="N40" s="74" t="s">
        <v>19</v>
      </c>
      <c r="O40" s="75" t="s">
        <v>180</v>
      </c>
      <c r="P40" s="75" t="s">
        <v>180</v>
      </c>
      <c r="Q40" s="75" t="s">
        <v>180</v>
      </c>
    </row>
    <row r="41">
      <c r="A41" s="73">
        <v>45900.0</v>
      </c>
      <c r="B41" s="74" t="s">
        <v>21</v>
      </c>
      <c r="C41" s="76">
        <v>40.0</v>
      </c>
      <c r="D41" s="76" t="s">
        <v>170</v>
      </c>
      <c r="E41" s="76" t="s">
        <v>200</v>
      </c>
      <c r="M41" s="73">
        <v>45900.0</v>
      </c>
      <c r="N41" s="74" t="s">
        <v>21</v>
      </c>
      <c r="O41" s="75" t="s">
        <v>180</v>
      </c>
      <c r="P41" s="75" t="s">
        <v>180</v>
      </c>
      <c r="Q41" s="75" t="s">
        <v>180</v>
      </c>
    </row>
  </sheetData>
  <conditionalFormatting sqref="C7:E41 O7:Q41">
    <cfRule type="cellIs" dxfId="3" priority="1" operator="equal">
      <formula>"Pix"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75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45901.0</v>
      </c>
      <c r="B7" s="74" t="s">
        <v>243</v>
      </c>
      <c r="C7" s="75" t="s">
        <v>180</v>
      </c>
      <c r="D7" s="75" t="s">
        <v>180</v>
      </c>
      <c r="E7" s="75" t="s">
        <v>180</v>
      </c>
      <c r="G7" s="69">
        <f>K9-K8</f>
        <v>282.88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45901.0</v>
      </c>
      <c r="N7" s="74" t="s">
        <v>243</v>
      </c>
      <c r="O7" s="75" t="s">
        <v>180</v>
      </c>
      <c r="P7" s="75" t="s">
        <v>180</v>
      </c>
      <c r="Q7" s="75" t="s">
        <v>180</v>
      </c>
    </row>
    <row r="8">
      <c r="A8" s="73">
        <v>45902.0</v>
      </c>
      <c r="B8" s="74" t="s">
        <v>25</v>
      </c>
      <c r="C8" s="75" t="s">
        <v>180</v>
      </c>
      <c r="D8" s="75" t="s">
        <v>180</v>
      </c>
      <c r="E8" s="75" t="s">
        <v>180</v>
      </c>
      <c r="G8" s="70" t="s">
        <v>1</v>
      </c>
      <c r="H8" s="35">
        <f>SUMIF(D7:D43,"Pix",C7:C43)</f>
        <v>1472.18</v>
      </c>
      <c r="I8" s="35">
        <f>SUMIF(D7:D43,"Dinheiro F",C7:C43)</f>
        <v>0</v>
      </c>
      <c r="J8" s="35">
        <f>SUMIF(D7:D43,"Cartão",C7:C43)</f>
        <v>240.54</v>
      </c>
      <c r="K8" s="40">
        <f t="shared" ref="K8:K9" si="1">SUM(H8:J8)</f>
        <v>1712.72</v>
      </c>
      <c r="M8" s="73">
        <v>45902.0</v>
      </c>
      <c r="N8" s="74" t="s">
        <v>25</v>
      </c>
      <c r="O8" s="75" t="s">
        <v>180</v>
      </c>
      <c r="P8" s="75" t="s">
        <v>180</v>
      </c>
      <c r="Q8" s="75" t="s">
        <v>180</v>
      </c>
    </row>
    <row r="9">
      <c r="A9" s="73">
        <v>45903.0</v>
      </c>
      <c r="B9" s="74" t="s">
        <v>26</v>
      </c>
      <c r="C9" s="76">
        <v>3.26</v>
      </c>
      <c r="D9" s="76" t="s">
        <v>171</v>
      </c>
      <c r="E9" s="76" t="s">
        <v>148</v>
      </c>
      <c r="G9" s="71" t="s">
        <v>2</v>
      </c>
      <c r="H9" s="40">
        <f>SUMIF(P7:P43,"Pix",O7:O43)</f>
        <v>50</v>
      </c>
      <c r="I9" s="35">
        <f>SUMIF(P7:P43,"Dinheiro F",O7:O43)</f>
        <v>111.6</v>
      </c>
      <c r="J9" s="35">
        <f>SUMIF(P7:P43,"Cartão",O7:O43)</f>
        <v>1834</v>
      </c>
      <c r="K9" s="40">
        <f t="shared" si="1"/>
        <v>1995.6</v>
      </c>
      <c r="M9" s="73">
        <v>45903.0</v>
      </c>
      <c r="N9" s="74" t="s">
        <v>26</v>
      </c>
      <c r="O9" s="75" t="s">
        <v>180</v>
      </c>
      <c r="P9" s="75" t="s">
        <v>180</v>
      </c>
      <c r="Q9" s="75" t="s">
        <v>180</v>
      </c>
    </row>
    <row r="10">
      <c r="A10" s="73">
        <v>45904.0</v>
      </c>
      <c r="B10" s="74" t="s">
        <v>27</v>
      </c>
      <c r="C10" s="76">
        <v>7.99</v>
      </c>
      <c r="D10" s="76" t="s">
        <v>171</v>
      </c>
      <c r="E10" s="76" t="s">
        <v>148</v>
      </c>
      <c r="M10" s="73">
        <v>45904.0</v>
      </c>
      <c r="N10" s="74" t="s">
        <v>27</v>
      </c>
      <c r="O10" s="75" t="s">
        <v>180</v>
      </c>
      <c r="P10" s="75" t="s">
        <v>180</v>
      </c>
      <c r="Q10" s="75" t="s">
        <v>180</v>
      </c>
    </row>
    <row r="11">
      <c r="A11" s="73">
        <v>45904.0</v>
      </c>
      <c r="B11" s="74" t="s">
        <v>27</v>
      </c>
      <c r="C11" s="76">
        <v>59.99</v>
      </c>
      <c r="D11" s="76" t="s">
        <v>169</v>
      </c>
      <c r="E11" s="76" t="s">
        <v>244</v>
      </c>
      <c r="M11" s="73">
        <v>45904.0</v>
      </c>
      <c r="N11" s="74" t="s">
        <v>27</v>
      </c>
      <c r="O11" s="75" t="s">
        <v>180</v>
      </c>
      <c r="P11" s="75" t="s">
        <v>180</v>
      </c>
      <c r="Q11" s="75" t="s">
        <v>180</v>
      </c>
    </row>
    <row r="12">
      <c r="A12" s="73">
        <v>45904.0</v>
      </c>
      <c r="B12" s="74" t="s">
        <v>27</v>
      </c>
      <c r="C12" s="76">
        <v>36.29</v>
      </c>
      <c r="D12" s="76" t="s">
        <v>171</v>
      </c>
      <c r="E12" s="76" t="s">
        <v>22</v>
      </c>
      <c r="M12" s="73">
        <v>45904.0</v>
      </c>
      <c r="N12" s="74" t="s">
        <v>27</v>
      </c>
      <c r="O12" s="75" t="s">
        <v>180</v>
      </c>
      <c r="P12" s="75" t="s">
        <v>180</v>
      </c>
      <c r="Q12" s="75" t="s">
        <v>180</v>
      </c>
    </row>
    <row r="13">
      <c r="A13" s="73">
        <v>45905.0</v>
      </c>
      <c r="B13" s="74" t="s">
        <v>17</v>
      </c>
      <c r="C13" s="76">
        <v>92.4</v>
      </c>
      <c r="D13" s="76" t="s">
        <v>169</v>
      </c>
      <c r="E13" s="76" t="s">
        <v>245</v>
      </c>
      <c r="M13" s="73">
        <v>45905.0</v>
      </c>
      <c r="N13" s="74" t="s">
        <v>17</v>
      </c>
      <c r="O13" s="75" t="s">
        <v>180</v>
      </c>
      <c r="P13" s="75" t="s">
        <v>180</v>
      </c>
      <c r="Q13" s="75" t="s">
        <v>180</v>
      </c>
    </row>
    <row r="14">
      <c r="A14" s="73">
        <v>45906.0</v>
      </c>
      <c r="B14" s="74" t="s">
        <v>19</v>
      </c>
      <c r="C14" s="75" t="s">
        <v>180</v>
      </c>
      <c r="D14" s="75" t="s">
        <v>180</v>
      </c>
      <c r="E14" s="75" t="s">
        <v>180</v>
      </c>
      <c r="M14" s="73">
        <v>45906.0</v>
      </c>
      <c r="N14" s="74" t="s">
        <v>19</v>
      </c>
      <c r="O14" s="75" t="s">
        <v>180</v>
      </c>
      <c r="P14" s="75" t="s">
        <v>180</v>
      </c>
      <c r="Q14" s="75" t="s">
        <v>180</v>
      </c>
    </row>
    <row r="15">
      <c r="A15" s="73">
        <v>45907.0</v>
      </c>
      <c r="B15" s="74" t="s">
        <v>21</v>
      </c>
      <c r="C15" s="76">
        <v>384.72</v>
      </c>
      <c r="D15" s="76" t="s">
        <v>169</v>
      </c>
      <c r="E15" s="76" t="s">
        <v>246</v>
      </c>
      <c r="M15" s="73">
        <v>45907.0</v>
      </c>
      <c r="N15" s="74" t="s">
        <v>21</v>
      </c>
      <c r="O15" s="75" t="s">
        <v>180</v>
      </c>
      <c r="P15" s="75" t="s">
        <v>180</v>
      </c>
      <c r="Q15" s="75" t="s">
        <v>180</v>
      </c>
    </row>
    <row r="16">
      <c r="A16" s="73">
        <v>45908.0</v>
      </c>
      <c r="B16" s="74" t="s">
        <v>23</v>
      </c>
      <c r="C16" s="75" t="s">
        <v>180</v>
      </c>
      <c r="D16" s="75" t="s">
        <v>180</v>
      </c>
      <c r="E16" s="75" t="s">
        <v>180</v>
      </c>
      <c r="M16" s="73">
        <v>45908.0</v>
      </c>
      <c r="N16" s="74" t="s">
        <v>23</v>
      </c>
      <c r="O16" s="75" t="s">
        <v>180</v>
      </c>
      <c r="P16" s="75" t="s">
        <v>180</v>
      </c>
      <c r="Q16" s="75" t="s">
        <v>180</v>
      </c>
    </row>
    <row r="17">
      <c r="A17" s="73">
        <v>45909.0</v>
      </c>
      <c r="B17" s="74" t="s">
        <v>25</v>
      </c>
      <c r="C17" s="76">
        <v>24.0</v>
      </c>
      <c r="D17" s="76" t="s">
        <v>171</v>
      </c>
      <c r="E17" s="76" t="s">
        <v>151</v>
      </c>
      <c r="M17" s="73">
        <v>45909.0</v>
      </c>
      <c r="N17" s="74" t="s">
        <v>25</v>
      </c>
      <c r="O17" s="75" t="s">
        <v>180</v>
      </c>
      <c r="P17" s="75" t="s">
        <v>180</v>
      </c>
      <c r="Q17" s="75" t="s">
        <v>180</v>
      </c>
    </row>
    <row r="18">
      <c r="A18" s="73">
        <v>45910.0</v>
      </c>
      <c r="B18" s="74" t="s">
        <v>26</v>
      </c>
      <c r="C18" s="76">
        <v>26.88</v>
      </c>
      <c r="D18" s="76" t="s">
        <v>171</v>
      </c>
      <c r="E18" s="76" t="s">
        <v>247</v>
      </c>
      <c r="M18" s="73">
        <v>45910.0</v>
      </c>
      <c r="N18" s="74" t="s">
        <v>26</v>
      </c>
      <c r="O18" s="75" t="s">
        <v>180</v>
      </c>
      <c r="P18" s="75" t="s">
        <v>180</v>
      </c>
      <c r="Q18" s="75" t="s">
        <v>180</v>
      </c>
    </row>
    <row r="19">
      <c r="A19" s="73">
        <v>45911.0</v>
      </c>
      <c r="B19" s="74" t="s">
        <v>27</v>
      </c>
      <c r="C19" s="76">
        <v>3.0</v>
      </c>
      <c r="D19" s="76" t="s">
        <v>171</v>
      </c>
      <c r="E19" s="76" t="s">
        <v>248</v>
      </c>
      <c r="M19" s="73">
        <v>45911.0</v>
      </c>
      <c r="N19" s="74" t="s">
        <v>27</v>
      </c>
      <c r="O19" s="75" t="s">
        <v>180</v>
      </c>
      <c r="P19" s="75" t="s">
        <v>180</v>
      </c>
      <c r="Q19" s="75" t="s">
        <v>180</v>
      </c>
    </row>
    <row r="20">
      <c r="A20" s="73">
        <v>45912.0</v>
      </c>
      <c r="B20" s="74" t="s">
        <v>17</v>
      </c>
      <c r="C20" s="76">
        <v>17.68</v>
      </c>
      <c r="D20" s="76" t="s">
        <v>171</v>
      </c>
      <c r="E20" s="76" t="s">
        <v>200</v>
      </c>
      <c r="M20" s="73">
        <v>45912.0</v>
      </c>
      <c r="N20" s="74" t="s">
        <v>17</v>
      </c>
      <c r="O20" s="75" t="s">
        <v>180</v>
      </c>
      <c r="P20" s="75" t="s">
        <v>180</v>
      </c>
      <c r="Q20" s="75" t="s">
        <v>180</v>
      </c>
    </row>
    <row r="21">
      <c r="A21" s="73">
        <v>45912.0</v>
      </c>
      <c r="B21" s="74" t="s">
        <v>17</v>
      </c>
      <c r="C21" s="76">
        <v>32.08</v>
      </c>
      <c r="D21" s="76" t="s">
        <v>171</v>
      </c>
      <c r="E21" s="76" t="s">
        <v>249</v>
      </c>
      <c r="M21" s="73">
        <v>45912.0</v>
      </c>
      <c r="N21" s="74" t="s">
        <v>17</v>
      </c>
      <c r="O21" s="75" t="s">
        <v>180</v>
      </c>
      <c r="P21" s="75" t="s">
        <v>180</v>
      </c>
      <c r="Q21" s="75" t="s">
        <v>180</v>
      </c>
    </row>
    <row r="22">
      <c r="A22" s="73">
        <v>45913.0</v>
      </c>
      <c r="B22" s="74" t="s">
        <v>19</v>
      </c>
      <c r="C22" s="76" t="s">
        <v>180</v>
      </c>
      <c r="D22" s="75" t="s">
        <v>180</v>
      </c>
      <c r="E22" s="75" t="s">
        <v>180</v>
      </c>
      <c r="M22" s="73">
        <v>45913.0</v>
      </c>
      <c r="N22" s="74" t="s">
        <v>19</v>
      </c>
      <c r="O22" s="75" t="s">
        <v>180</v>
      </c>
      <c r="P22" s="75" t="s">
        <v>180</v>
      </c>
      <c r="Q22" s="75" t="s">
        <v>180</v>
      </c>
    </row>
    <row r="23">
      <c r="A23" s="73">
        <v>45914.0</v>
      </c>
      <c r="B23" s="74" t="s">
        <v>21</v>
      </c>
      <c r="C23" s="76">
        <v>20.0</v>
      </c>
      <c r="D23" s="76" t="s">
        <v>169</v>
      </c>
      <c r="E23" s="76" t="s">
        <v>29</v>
      </c>
      <c r="M23" s="73">
        <v>45914.0</v>
      </c>
      <c r="N23" s="74" t="s">
        <v>21</v>
      </c>
      <c r="O23" s="75" t="s">
        <v>180</v>
      </c>
      <c r="P23" s="75" t="s">
        <v>180</v>
      </c>
      <c r="Q23" s="75" t="s">
        <v>180</v>
      </c>
    </row>
    <row r="24">
      <c r="A24" s="73">
        <v>45915.0</v>
      </c>
      <c r="B24" s="74" t="s">
        <v>23</v>
      </c>
      <c r="C24" s="76">
        <v>45.0</v>
      </c>
      <c r="D24" s="76" t="s">
        <v>169</v>
      </c>
      <c r="E24" s="76" t="s">
        <v>61</v>
      </c>
      <c r="M24" s="73">
        <v>45915.0</v>
      </c>
      <c r="N24" s="74" t="s">
        <v>23</v>
      </c>
      <c r="O24" s="75" t="s">
        <v>180</v>
      </c>
      <c r="P24" s="75" t="s">
        <v>180</v>
      </c>
      <c r="Q24" s="75" t="s">
        <v>180</v>
      </c>
    </row>
    <row r="25">
      <c r="A25" s="73">
        <v>45916.0</v>
      </c>
      <c r="B25" s="74" t="s">
        <v>25</v>
      </c>
      <c r="C25" s="76">
        <v>30.0</v>
      </c>
      <c r="D25" s="76" t="s">
        <v>169</v>
      </c>
      <c r="E25" s="76" t="s">
        <v>31</v>
      </c>
      <c r="M25" s="73">
        <v>45916.0</v>
      </c>
      <c r="N25" s="74" t="s">
        <v>25</v>
      </c>
      <c r="O25" s="75" t="s">
        <v>180</v>
      </c>
      <c r="P25" s="75" t="s">
        <v>180</v>
      </c>
      <c r="Q25" s="75" t="s">
        <v>180</v>
      </c>
    </row>
    <row r="26">
      <c r="A26" s="73">
        <v>45916.0</v>
      </c>
      <c r="B26" s="74" t="s">
        <v>25</v>
      </c>
      <c r="C26" s="76">
        <v>79.26</v>
      </c>
      <c r="D26" s="76" t="s">
        <v>169</v>
      </c>
      <c r="E26" s="76" t="s">
        <v>250</v>
      </c>
      <c r="M26" s="73">
        <v>45916.0</v>
      </c>
      <c r="N26" s="74" t="s">
        <v>25</v>
      </c>
      <c r="O26" s="75" t="s">
        <v>180</v>
      </c>
      <c r="P26" s="75" t="s">
        <v>180</v>
      </c>
      <c r="Q26" s="75" t="s">
        <v>180</v>
      </c>
    </row>
    <row r="27">
      <c r="A27" s="73">
        <v>45917.0</v>
      </c>
      <c r="B27" s="74" t="s">
        <v>26</v>
      </c>
      <c r="C27" s="76">
        <v>3.33</v>
      </c>
      <c r="D27" s="76" t="s">
        <v>169</v>
      </c>
      <c r="E27" s="76" t="s">
        <v>148</v>
      </c>
      <c r="M27" s="73">
        <v>45917.0</v>
      </c>
      <c r="N27" s="74" t="s">
        <v>26</v>
      </c>
      <c r="O27" s="76">
        <v>1834.0</v>
      </c>
      <c r="P27" s="76" t="s">
        <v>171</v>
      </c>
      <c r="Q27" s="76" t="s">
        <v>251</v>
      </c>
    </row>
    <row r="28">
      <c r="A28" s="73">
        <v>45918.0</v>
      </c>
      <c r="B28" s="74" t="s">
        <v>27</v>
      </c>
      <c r="C28" s="76">
        <v>56.77</v>
      </c>
      <c r="D28" s="76" t="s">
        <v>169</v>
      </c>
      <c r="E28" s="76" t="s">
        <v>252</v>
      </c>
      <c r="M28" s="73">
        <v>45918.0</v>
      </c>
      <c r="N28" s="74" t="s">
        <v>27</v>
      </c>
      <c r="O28" s="75" t="s">
        <v>180</v>
      </c>
      <c r="P28" s="75" t="s">
        <v>180</v>
      </c>
      <c r="Q28" s="75" t="s">
        <v>180</v>
      </c>
    </row>
    <row r="29">
      <c r="A29" s="73">
        <v>45918.0</v>
      </c>
      <c r="B29" s="74" t="s">
        <v>27</v>
      </c>
      <c r="C29" s="76">
        <v>109.99</v>
      </c>
      <c r="D29" s="76" t="s">
        <v>169</v>
      </c>
      <c r="E29" s="76" t="s">
        <v>253</v>
      </c>
      <c r="M29" s="73">
        <v>45918.0</v>
      </c>
      <c r="N29" s="74" t="s">
        <v>27</v>
      </c>
      <c r="O29" s="75" t="s">
        <v>180</v>
      </c>
      <c r="P29" s="75" t="s">
        <v>180</v>
      </c>
      <c r="Q29" s="75" t="s">
        <v>180</v>
      </c>
    </row>
    <row r="30">
      <c r="A30" s="73">
        <v>45919.0</v>
      </c>
      <c r="B30" s="74" t="s">
        <v>17</v>
      </c>
      <c r="C30" s="76">
        <v>26.46</v>
      </c>
      <c r="D30" s="76" t="s">
        <v>169</v>
      </c>
      <c r="E30" s="76" t="s">
        <v>61</v>
      </c>
      <c r="F30" s="78"/>
      <c r="M30" s="73">
        <v>45919.0</v>
      </c>
      <c r="N30" s="74" t="s">
        <v>17</v>
      </c>
      <c r="O30" s="75" t="s">
        <v>180</v>
      </c>
      <c r="P30" s="75" t="s">
        <v>180</v>
      </c>
      <c r="Q30" s="75" t="s">
        <v>180</v>
      </c>
    </row>
    <row r="31">
      <c r="A31" s="73">
        <v>45920.0</v>
      </c>
      <c r="B31" s="74" t="s">
        <v>19</v>
      </c>
      <c r="C31" s="76">
        <v>415.0</v>
      </c>
      <c r="D31" s="76" t="s">
        <v>169</v>
      </c>
      <c r="E31" s="76" t="s">
        <v>78</v>
      </c>
      <c r="M31" s="73">
        <v>45920.0</v>
      </c>
      <c r="N31" s="74" t="s">
        <v>19</v>
      </c>
      <c r="O31" s="76">
        <v>111.6</v>
      </c>
      <c r="P31" s="76" t="s">
        <v>170</v>
      </c>
      <c r="Q31" s="76" t="s">
        <v>220</v>
      </c>
    </row>
    <row r="32">
      <c r="A32" s="73">
        <v>45921.0</v>
      </c>
      <c r="B32" s="74" t="s">
        <v>21</v>
      </c>
      <c r="C32" s="75" t="s">
        <v>180</v>
      </c>
      <c r="D32" s="75" t="s">
        <v>180</v>
      </c>
      <c r="E32" s="75" t="s">
        <v>180</v>
      </c>
      <c r="M32" s="73">
        <v>45921.0</v>
      </c>
      <c r="N32" s="74" t="s">
        <v>21</v>
      </c>
      <c r="O32" s="75" t="s">
        <v>180</v>
      </c>
      <c r="P32" s="75" t="s">
        <v>180</v>
      </c>
      <c r="Q32" s="75" t="s">
        <v>180</v>
      </c>
    </row>
    <row r="33">
      <c r="A33" s="73">
        <v>45922.0</v>
      </c>
      <c r="B33" s="74" t="s">
        <v>23</v>
      </c>
      <c r="C33" s="76">
        <v>100.0</v>
      </c>
      <c r="D33" s="76" t="s">
        <v>169</v>
      </c>
      <c r="E33" s="76" t="s">
        <v>235</v>
      </c>
      <c r="M33" s="73">
        <v>45922.0</v>
      </c>
      <c r="N33" s="74" t="s">
        <v>23</v>
      </c>
      <c r="O33" s="75" t="s">
        <v>180</v>
      </c>
      <c r="P33" s="75" t="s">
        <v>180</v>
      </c>
      <c r="Q33" s="75" t="s">
        <v>180</v>
      </c>
    </row>
    <row r="34">
      <c r="A34" s="73">
        <v>45923.0</v>
      </c>
      <c r="B34" s="74" t="s">
        <v>25</v>
      </c>
      <c r="C34" s="76">
        <v>7.75</v>
      </c>
      <c r="D34" s="76" t="s">
        <v>169</v>
      </c>
      <c r="E34" s="76" t="s">
        <v>254</v>
      </c>
      <c r="M34" s="73">
        <v>45923.0</v>
      </c>
      <c r="N34" s="74" t="s">
        <v>25</v>
      </c>
      <c r="O34" s="75" t="s">
        <v>180</v>
      </c>
      <c r="P34" s="75" t="s">
        <v>180</v>
      </c>
      <c r="Q34" s="75" t="s">
        <v>180</v>
      </c>
    </row>
    <row r="35">
      <c r="A35" s="73">
        <v>45924.0</v>
      </c>
      <c r="B35" s="74" t="s">
        <v>26</v>
      </c>
      <c r="C35" s="76">
        <v>36.78</v>
      </c>
      <c r="D35" s="76" t="s">
        <v>171</v>
      </c>
      <c r="E35" s="76" t="s">
        <v>22</v>
      </c>
      <c r="M35" s="73">
        <v>45924.0</v>
      </c>
      <c r="N35" s="74" t="s">
        <v>26</v>
      </c>
      <c r="O35" s="75" t="s">
        <v>180</v>
      </c>
      <c r="P35" s="75" t="s">
        <v>180</v>
      </c>
      <c r="Q35" s="75" t="s">
        <v>180</v>
      </c>
    </row>
    <row r="36">
      <c r="A36" s="73">
        <v>45925.0</v>
      </c>
      <c r="B36" s="74" t="s">
        <v>27</v>
      </c>
      <c r="C36" s="76">
        <v>25.34</v>
      </c>
      <c r="D36" s="76" t="s">
        <v>169</v>
      </c>
      <c r="E36" s="76" t="s">
        <v>252</v>
      </c>
      <c r="M36" s="73">
        <v>45925.0</v>
      </c>
      <c r="N36" s="74" t="s">
        <v>27</v>
      </c>
      <c r="O36" s="75" t="s">
        <v>180</v>
      </c>
      <c r="P36" s="75" t="s">
        <v>180</v>
      </c>
      <c r="Q36" s="75" t="s">
        <v>180</v>
      </c>
    </row>
    <row r="37">
      <c r="A37" s="73">
        <v>45926.0</v>
      </c>
      <c r="B37" s="74" t="s">
        <v>17</v>
      </c>
      <c r="C37" s="76">
        <v>16.17</v>
      </c>
      <c r="D37" s="76" t="s">
        <v>169</v>
      </c>
      <c r="E37" s="76" t="s">
        <v>200</v>
      </c>
      <c r="M37" s="73">
        <v>45926.0</v>
      </c>
      <c r="N37" s="74" t="s">
        <v>17</v>
      </c>
      <c r="O37" s="75" t="s">
        <v>180</v>
      </c>
      <c r="P37" s="75" t="s">
        <v>180</v>
      </c>
      <c r="Q37" s="75" t="s">
        <v>180</v>
      </c>
    </row>
    <row r="38">
      <c r="A38" s="73">
        <v>45927.0</v>
      </c>
      <c r="B38" s="74" t="s">
        <v>19</v>
      </c>
      <c r="C38" s="75" t="s">
        <v>180</v>
      </c>
      <c r="D38" s="75" t="s">
        <v>180</v>
      </c>
      <c r="E38" s="75" t="s">
        <v>180</v>
      </c>
      <c r="M38" s="73">
        <v>45927.0</v>
      </c>
      <c r="N38" s="74" t="s">
        <v>19</v>
      </c>
      <c r="O38" s="75" t="s">
        <v>180</v>
      </c>
      <c r="P38" s="75" t="s">
        <v>180</v>
      </c>
      <c r="Q38" s="75" t="s">
        <v>180</v>
      </c>
    </row>
    <row r="39">
      <c r="A39" s="73">
        <v>45928.0</v>
      </c>
      <c r="B39" s="74" t="s">
        <v>21</v>
      </c>
      <c r="C39" s="76">
        <v>22.0</v>
      </c>
      <c r="D39" s="76" t="s">
        <v>171</v>
      </c>
      <c r="E39" s="76" t="s">
        <v>254</v>
      </c>
      <c r="M39" s="73">
        <v>45928.0</v>
      </c>
      <c r="N39" s="74" t="s">
        <v>21</v>
      </c>
      <c r="O39" s="75" t="s">
        <v>180</v>
      </c>
      <c r="P39" s="75" t="s">
        <v>180</v>
      </c>
      <c r="Q39" s="75" t="s">
        <v>180</v>
      </c>
    </row>
    <row r="40">
      <c r="A40" s="73">
        <v>45929.0</v>
      </c>
      <c r="B40" s="74" t="s">
        <v>23</v>
      </c>
      <c r="C40" s="75" t="s">
        <v>180</v>
      </c>
      <c r="D40" s="75" t="s">
        <v>180</v>
      </c>
      <c r="E40" s="75" t="s">
        <v>180</v>
      </c>
      <c r="M40" s="73">
        <v>45929.0</v>
      </c>
      <c r="N40" s="74" t="s">
        <v>23</v>
      </c>
      <c r="O40" s="75" t="s">
        <v>180</v>
      </c>
      <c r="P40" s="75" t="s">
        <v>180</v>
      </c>
      <c r="Q40" s="75" t="s">
        <v>180</v>
      </c>
    </row>
    <row r="41">
      <c r="A41" s="73">
        <v>45930.0</v>
      </c>
      <c r="B41" s="74" t="s">
        <v>25</v>
      </c>
      <c r="C41" s="76">
        <v>30.58</v>
      </c>
      <c r="D41" s="76" t="s">
        <v>171</v>
      </c>
      <c r="E41" s="76" t="s">
        <v>61</v>
      </c>
      <c r="M41" s="73">
        <v>45930.0</v>
      </c>
      <c r="N41" s="74" t="s">
        <v>25</v>
      </c>
      <c r="O41" s="76">
        <v>50.0</v>
      </c>
      <c r="P41" s="76" t="s">
        <v>169</v>
      </c>
      <c r="Q41" s="76" t="s">
        <v>255</v>
      </c>
    </row>
  </sheetData>
  <conditionalFormatting sqref="C7:E41 O7:Q41">
    <cfRule type="cellIs" dxfId="3" priority="1" operator="equal">
      <formula>"Pix"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75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45931.0</v>
      </c>
      <c r="B7" s="74" t="s">
        <v>26</v>
      </c>
      <c r="C7" s="76">
        <v>4.95</v>
      </c>
      <c r="D7" s="76" t="s">
        <v>171</v>
      </c>
      <c r="E7" s="76" t="s">
        <v>148</v>
      </c>
      <c r="G7" s="69">
        <f>K9-K8</f>
        <v>-723.86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45931.0</v>
      </c>
      <c r="N7" s="74" t="s">
        <v>26</v>
      </c>
      <c r="O7" s="75" t="s">
        <v>180</v>
      </c>
      <c r="P7" s="75" t="s">
        <v>180</v>
      </c>
      <c r="Q7" s="75" t="s">
        <v>180</v>
      </c>
    </row>
    <row r="8">
      <c r="A8" s="73">
        <v>45932.0</v>
      </c>
      <c r="B8" s="74" t="s">
        <v>27</v>
      </c>
      <c r="C8" s="76">
        <v>42.17</v>
      </c>
      <c r="D8" s="76" t="s">
        <v>171</v>
      </c>
      <c r="E8" s="76" t="s">
        <v>254</v>
      </c>
      <c r="G8" s="70" t="s">
        <v>1</v>
      </c>
      <c r="H8" s="35">
        <f>SUMIF(D7:D43,"Pix",C7:C43)</f>
        <v>2271.3</v>
      </c>
      <c r="I8" s="35">
        <f>SUMIF(D7:D43,"Dinheiro F",C7:C43)</f>
        <v>12</v>
      </c>
      <c r="J8" s="35">
        <f>SUMIF(D7:D43,"Cartão",C7:C43)</f>
        <v>418.56</v>
      </c>
      <c r="K8" s="40">
        <f t="shared" ref="K8:K9" si="1">SUM(H8:J8)</f>
        <v>2701.86</v>
      </c>
      <c r="M8" s="73">
        <v>45932.0</v>
      </c>
      <c r="N8" s="74" t="s">
        <v>27</v>
      </c>
      <c r="O8" s="75" t="s">
        <v>180</v>
      </c>
      <c r="P8" s="75" t="s">
        <v>180</v>
      </c>
      <c r="Q8" s="75" t="s">
        <v>180</v>
      </c>
    </row>
    <row r="9">
      <c r="A9" s="73">
        <v>45933.0</v>
      </c>
      <c r="B9" s="74" t="s">
        <v>17</v>
      </c>
      <c r="C9" s="75" t="s">
        <v>180</v>
      </c>
      <c r="D9" s="75" t="s">
        <v>180</v>
      </c>
      <c r="E9" s="75" t="s">
        <v>180</v>
      </c>
      <c r="G9" s="71" t="s">
        <v>2</v>
      </c>
      <c r="H9" s="40">
        <f>SUMIF(P7:P43,"Pix",O7:O43)</f>
        <v>144</v>
      </c>
      <c r="I9" s="35">
        <f>SUMIF(P7:P43,"Dinheiro F",O7:O43)</f>
        <v>0</v>
      </c>
      <c r="J9" s="35">
        <f>SUMIF(P7:P43,"Cartão",O7:O43)</f>
        <v>1834</v>
      </c>
      <c r="K9" s="40">
        <f t="shared" si="1"/>
        <v>1978</v>
      </c>
      <c r="M9" s="73">
        <v>45933.0</v>
      </c>
      <c r="N9" s="74" t="s">
        <v>17</v>
      </c>
      <c r="O9" s="75" t="s">
        <v>180</v>
      </c>
      <c r="P9" s="75" t="s">
        <v>180</v>
      </c>
      <c r="Q9" s="75" t="s">
        <v>180</v>
      </c>
    </row>
    <row r="10">
      <c r="A10" s="73">
        <v>45934.0</v>
      </c>
      <c r="B10" s="74" t="s">
        <v>19</v>
      </c>
      <c r="C10" s="75" t="s">
        <v>180</v>
      </c>
      <c r="D10" s="75" t="s">
        <v>180</v>
      </c>
      <c r="E10" s="75" t="s">
        <v>180</v>
      </c>
      <c r="M10" s="73">
        <v>45934.0</v>
      </c>
      <c r="N10" s="74" t="s">
        <v>19</v>
      </c>
      <c r="O10" s="75" t="s">
        <v>180</v>
      </c>
      <c r="P10" s="75" t="s">
        <v>180</v>
      </c>
      <c r="Q10" s="75" t="s">
        <v>180</v>
      </c>
    </row>
    <row r="11">
      <c r="A11" s="73">
        <v>45935.0</v>
      </c>
      <c r="B11" s="74" t="s">
        <v>21</v>
      </c>
      <c r="C11" s="75" t="s">
        <v>180</v>
      </c>
      <c r="D11" s="75" t="s">
        <v>180</v>
      </c>
      <c r="E11" s="75" t="s">
        <v>180</v>
      </c>
      <c r="M11" s="73">
        <v>45935.0</v>
      </c>
      <c r="N11" s="74" t="s">
        <v>21</v>
      </c>
      <c r="O11" s="75" t="s">
        <v>180</v>
      </c>
      <c r="P11" s="75" t="s">
        <v>180</v>
      </c>
      <c r="Q11" s="75" t="s">
        <v>180</v>
      </c>
    </row>
    <row r="12">
      <c r="A12" s="73">
        <v>45936.0</v>
      </c>
      <c r="B12" s="74" t="s">
        <v>23</v>
      </c>
      <c r="C12" s="76">
        <v>9.96</v>
      </c>
      <c r="D12" s="76" t="s">
        <v>171</v>
      </c>
      <c r="E12" s="76" t="s">
        <v>205</v>
      </c>
      <c r="M12" s="73">
        <v>45936.0</v>
      </c>
      <c r="N12" s="74" t="s">
        <v>23</v>
      </c>
      <c r="O12" s="75" t="s">
        <v>180</v>
      </c>
      <c r="P12" s="75" t="s">
        <v>180</v>
      </c>
      <c r="Q12" s="75" t="s">
        <v>180</v>
      </c>
    </row>
    <row r="13">
      <c r="A13" s="73">
        <v>45937.0</v>
      </c>
      <c r="B13" s="74" t="s">
        <v>25</v>
      </c>
      <c r="C13" s="76">
        <v>384.72</v>
      </c>
      <c r="D13" s="76" t="s">
        <v>169</v>
      </c>
      <c r="E13" s="76" t="s">
        <v>246</v>
      </c>
      <c r="M13" s="73">
        <v>45937.0</v>
      </c>
      <c r="N13" s="74" t="s">
        <v>25</v>
      </c>
      <c r="O13" s="75" t="s">
        <v>180</v>
      </c>
      <c r="P13" s="75" t="s">
        <v>180</v>
      </c>
      <c r="Q13" s="75" t="s">
        <v>180</v>
      </c>
    </row>
    <row r="14">
      <c r="A14" s="73">
        <v>45938.0</v>
      </c>
      <c r="B14" s="74" t="s">
        <v>26</v>
      </c>
      <c r="C14" s="75" t="s">
        <v>180</v>
      </c>
      <c r="D14" s="75" t="s">
        <v>180</v>
      </c>
      <c r="E14" s="75" t="s">
        <v>180</v>
      </c>
      <c r="M14" s="73">
        <v>45938.0</v>
      </c>
      <c r="N14" s="74" t="s">
        <v>26</v>
      </c>
      <c r="O14" s="75" t="s">
        <v>180</v>
      </c>
      <c r="P14" s="75" t="s">
        <v>180</v>
      </c>
      <c r="Q14" s="75" t="s">
        <v>180</v>
      </c>
    </row>
    <row r="15">
      <c r="A15" s="73">
        <v>45939.0</v>
      </c>
      <c r="B15" s="74" t="s">
        <v>27</v>
      </c>
      <c r="C15" s="75" t="s">
        <v>180</v>
      </c>
      <c r="D15" s="75" t="s">
        <v>180</v>
      </c>
      <c r="E15" s="75" t="s">
        <v>180</v>
      </c>
      <c r="M15" s="73">
        <v>45939.0</v>
      </c>
      <c r="N15" s="74" t="s">
        <v>27</v>
      </c>
      <c r="O15" s="75" t="s">
        <v>180</v>
      </c>
      <c r="P15" s="75" t="s">
        <v>180</v>
      </c>
      <c r="Q15" s="75" t="s">
        <v>180</v>
      </c>
    </row>
    <row r="16">
      <c r="A16" s="73">
        <v>45940.0</v>
      </c>
      <c r="B16" s="74" t="s">
        <v>17</v>
      </c>
      <c r="C16" s="76">
        <v>100.0</v>
      </c>
      <c r="D16" s="76" t="s">
        <v>169</v>
      </c>
      <c r="E16" s="76" t="s">
        <v>29</v>
      </c>
      <c r="M16" s="73">
        <v>45940.0</v>
      </c>
      <c r="N16" s="74" t="s">
        <v>17</v>
      </c>
      <c r="O16" s="75" t="s">
        <v>180</v>
      </c>
      <c r="P16" s="75" t="s">
        <v>180</v>
      </c>
      <c r="Q16" s="75" t="s">
        <v>180</v>
      </c>
    </row>
    <row r="17">
      <c r="A17" s="73">
        <v>45941.0</v>
      </c>
      <c r="B17" s="74" t="s">
        <v>19</v>
      </c>
      <c r="C17" s="75" t="s">
        <v>180</v>
      </c>
      <c r="D17" s="75" t="s">
        <v>180</v>
      </c>
      <c r="E17" s="75" t="s">
        <v>180</v>
      </c>
      <c r="M17" s="73">
        <v>45941.0</v>
      </c>
      <c r="N17" s="74" t="s">
        <v>19</v>
      </c>
      <c r="O17" s="75" t="s">
        <v>180</v>
      </c>
      <c r="P17" s="75" t="s">
        <v>180</v>
      </c>
      <c r="Q17" s="75" t="s">
        <v>180</v>
      </c>
    </row>
    <row r="18">
      <c r="A18" s="73">
        <v>45942.0</v>
      </c>
      <c r="B18" s="74" t="s">
        <v>21</v>
      </c>
      <c r="C18" s="75" t="s">
        <v>180</v>
      </c>
      <c r="D18" s="75" t="s">
        <v>180</v>
      </c>
      <c r="E18" s="75" t="s">
        <v>180</v>
      </c>
      <c r="M18" s="73">
        <v>45942.0</v>
      </c>
      <c r="N18" s="74" t="s">
        <v>21</v>
      </c>
      <c r="O18" s="75" t="s">
        <v>180</v>
      </c>
      <c r="P18" s="75" t="s">
        <v>180</v>
      </c>
      <c r="Q18" s="75" t="s">
        <v>180</v>
      </c>
    </row>
    <row r="19">
      <c r="A19" s="73">
        <v>45943.0</v>
      </c>
      <c r="B19" s="74" t="s">
        <v>23</v>
      </c>
      <c r="C19" s="76">
        <v>30.0</v>
      </c>
      <c r="D19" s="76" t="s">
        <v>169</v>
      </c>
      <c r="E19" s="76" t="s">
        <v>31</v>
      </c>
      <c r="M19" s="73">
        <v>45943.0</v>
      </c>
      <c r="N19" s="74" t="s">
        <v>23</v>
      </c>
      <c r="O19" s="75" t="s">
        <v>180</v>
      </c>
      <c r="P19" s="75" t="s">
        <v>180</v>
      </c>
      <c r="Q19" s="75" t="s">
        <v>180</v>
      </c>
    </row>
    <row r="20">
      <c r="A20" s="73">
        <v>45944.0</v>
      </c>
      <c r="B20" s="74" t="s">
        <v>25</v>
      </c>
      <c r="C20" s="76">
        <v>29.02</v>
      </c>
      <c r="D20" s="76" t="s">
        <v>171</v>
      </c>
      <c r="E20" s="76" t="s">
        <v>254</v>
      </c>
      <c r="M20" s="73">
        <v>45944.0</v>
      </c>
      <c r="N20" s="74" t="s">
        <v>25</v>
      </c>
      <c r="O20" s="75" t="s">
        <v>180</v>
      </c>
      <c r="P20" s="75" t="s">
        <v>180</v>
      </c>
      <c r="Q20" s="75" t="s">
        <v>180</v>
      </c>
    </row>
    <row r="21">
      <c r="A21" s="73">
        <v>45945.0</v>
      </c>
      <c r="B21" s="74" t="s">
        <v>26</v>
      </c>
      <c r="C21" s="76">
        <v>4.95</v>
      </c>
      <c r="D21" s="76" t="s">
        <v>171</v>
      </c>
      <c r="E21" s="76" t="s">
        <v>148</v>
      </c>
      <c r="M21" s="73">
        <v>45945.0</v>
      </c>
      <c r="N21" s="74" t="s">
        <v>26</v>
      </c>
      <c r="O21" s="75" t="s">
        <v>180</v>
      </c>
      <c r="P21" s="75" t="s">
        <v>180</v>
      </c>
      <c r="Q21" s="75" t="s">
        <v>180</v>
      </c>
    </row>
    <row r="22">
      <c r="A22" s="73">
        <v>45946.0</v>
      </c>
      <c r="B22" s="74" t="s">
        <v>27</v>
      </c>
      <c r="C22" s="76">
        <v>10.66</v>
      </c>
      <c r="D22" s="76" t="s">
        <v>171</v>
      </c>
      <c r="E22" s="76" t="s">
        <v>256</v>
      </c>
      <c r="M22" s="73">
        <v>45946.0</v>
      </c>
      <c r="N22" s="74" t="s">
        <v>27</v>
      </c>
      <c r="O22" s="75" t="s">
        <v>180</v>
      </c>
      <c r="P22" s="75" t="s">
        <v>180</v>
      </c>
      <c r="Q22" s="75" t="s">
        <v>180</v>
      </c>
    </row>
    <row r="23">
      <c r="A23" s="73">
        <v>45947.0</v>
      </c>
      <c r="B23" s="74" t="s">
        <v>17</v>
      </c>
      <c r="C23" s="76">
        <v>20.23</v>
      </c>
      <c r="D23" s="76" t="s">
        <v>169</v>
      </c>
      <c r="E23" s="76" t="s">
        <v>200</v>
      </c>
      <c r="M23" s="73">
        <v>45947.0</v>
      </c>
      <c r="N23" s="74" t="s">
        <v>17</v>
      </c>
      <c r="O23" s="76">
        <v>1834.0</v>
      </c>
      <c r="P23" s="76" t="s">
        <v>171</v>
      </c>
      <c r="Q23" s="76" t="s">
        <v>251</v>
      </c>
    </row>
    <row r="24">
      <c r="A24" s="73">
        <v>45948.0</v>
      </c>
      <c r="B24" s="74" t="s">
        <v>19</v>
      </c>
      <c r="C24" s="76">
        <v>100.0</v>
      </c>
      <c r="D24" s="76" t="s">
        <v>169</v>
      </c>
      <c r="E24" s="76" t="s">
        <v>235</v>
      </c>
      <c r="M24" s="73">
        <v>45948.0</v>
      </c>
      <c r="N24" s="74" t="s">
        <v>19</v>
      </c>
      <c r="O24" s="75" t="s">
        <v>180</v>
      </c>
      <c r="P24" s="75" t="s">
        <v>180</v>
      </c>
      <c r="Q24" s="75" t="s">
        <v>180</v>
      </c>
    </row>
    <row r="25">
      <c r="A25" s="73">
        <v>45949.0</v>
      </c>
      <c r="B25" s="74" t="s">
        <v>21</v>
      </c>
      <c r="C25" s="76">
        <v>20.7</v>
      </c>
      <c r="D25" s="76" t="s">
        <v>169</v>
      </c>
      <c r="E25" s="76" t="s">
        <v>257</v>
      </c>
      <c r="M25" s="73">
        <v>45949.0</v>
      </c>
      <c r="N25" s="74" t="s">
        <v>21</v>
      </c>
      <c r="O25" s="75" t="s">
        <v>180</v>
      </c>
      <c r="P25" s="75" t="s">
        <v>180</v>
      </c>
      <c r="Q25" s="75" t="s">
        <v>180</v>
      </c>
    </row>
    <row r="26">
      <c r="A26" s="73">
        <v>45950.0</v>
      </c>
      <c r="B26" s="74" t="s">
        <v>23</v>
      </c>
      <c r="C26" s="76">
        <v>172.39</v>
      </c>
      <c r="D26" s="76" t="s">
        <v>171</v>
      </c>
      <c r="E26" s="76" t="s">
        <v>258</v>
      </c>
      <c r="M26" s="73">
        <v>45950.0</v>
      </c>
      <c r="N26" s="74" t="s">
        <v>23</v>
      </c>
      <c r="O26" s="75" t="s">
        <v>180</v>
      </c>
      <c r="P26" s="75" t="s">
        <v>180</v>
      </c>
      <c r="Q26" s="75" t="s">
        <v>180</v>
      </c>
    </row>
    <row r="27">
      <c r="A27" s="73">
        <v>45950.0</v>
      </c>
      <c r="B27" s="74" t="s">
        <v>23</v>
      </c>
      <c r="C27" s="76">
        <v>467.0</v>
      </c>
      <c r="D27" s="76" t="s">
        <v>169</v>
      </c>
      <c r="E27" s="76" t="s">
        <v>78</v>
      </c>
      <c r="M27" s="73">
        <v>45950.0</v>
      </c>
      <c r="N27" s="74" t="s">
        <v>23</v>
      </c>
      <c r="O27" s="75" t="s">
        <v>180</v>
      </c>
      <c r="P27" s="75" t="s">
        <v>180</v>
      </c>
      <c r="Q27" s="75" t="s">
        <v>180</v>
      </c>
    </row>
    <row r="28">
      <c r="A28" s="73">
        <v>45951.0</v>
      </c>
      <c r="B28" s="74" t="s">
        <v>25</v>
      </c>
      <c r="C28" s="76">
        <v>20.0</v>
      </c>
      <c r="D28" s="76" t="s">
        <v>169</v>
      </c>
      <c r="E28" s="76" t="s">
        <v>29</v>
      </c>
      <c r="M28" s="73">
        <v>45951.0</v>
      </c>
      <c r="N28" s="74" t="s">
        <v>25</v>
      </c>
      <c r="O28" s="75" t="s">
        <v>180</v>
      </c>
      <c r="P28" s="75" t="s">
        <v>180</v>
      </c>
      <c r="Q28" s="75" t="s">
        <v>180</v>
      </c>
    </row>
    <row r="29">
      <c r="A29" s="73">
        <v>45951.0</v>
      </c>
      <c r="B29" s="74" t="s">
        <v>25</v>
      </c>
      <c r="C29" s="76">
        <v>15.65</v>
      </c>
      <c r="D29" s="76" t="s">
        <v>169</v>
      </c>
      <c r="E29" s="76" t="s">
        <v>254</v>
      </c>
      <c r="M29" s="73">
        <v>45951.0</v>
      </c>
      <c r="N29" s="74" t="s">
        <v>25</v>
      </c>
      <c r="O29" s="75" t="s">
        <v>180</v>
      </c>
      <c r="P29" s="75" t="s">
        <v>180</v>
      </c>
      <c r="Q29" s="75" t="s">
        <v>180</v>
      </c>
    </row>
    <row r="30">
      <c r="A30" s="73">
        <v>45952.0</v>
      </c>
      <c r="B30" s="74" t="s">
        <v>26</v>
      </c>
      <c r="C30" s="76">
        <v>3.39</v>
      </c>
      <c r="D30" s="76" t="s">
        <v>171</v>
      </c>
      <c r="E30" s="76" t="s">
        <v>148</v>
      </c>
      <c r="M30" s="73">
        <v>45952.0</v>
      </c>
      <c r="N30" s="74" t="s">
        <v>26</v>
      </c>
      <c r="O30" s="75" t="s">
        <v>180</v>
      </c>
      <c r="P30" s="75" t="s">
        <v>180</v>
      </c>
      <c r="Q30" s="75" t="s">
        <v>180</v>
      </c>
    </row>
    <row r="31">
      <c r="A31" s="73">
        <v>45953.0</v>
      </c>
      <c r="B31" s="74" t="s">
        <v>27</v>
      </c>
      <c r="C31" s="76" t="s">
        <v>180</v>
      </c>
      <c r="D31" s="75" t="s">
        <v>180</v>
      </c>
      <c r="E31" s="75" t="s">
        <v>180</v>
      </c>
      <c r="M31" s="73">
        <v>45953.0</v>
      </c>
      <c r="N31" s="74" t="s">
        <v>27</v>
      </c>
      <c r="O31" s="76">
        <v>84.0</v>
      </c>
      <c r="P31" s="76" t="s">
        <v>169</v>
      </c>
      <c r="Q31" s="76" t="s">
        <v>255</v>
      </c>
    </row>
    <row r="32">
      <c r="A32" s="73">
        <v>45954.0</v>
      </c>
      <c r="B32" s="74" t="s">
        <v>17</v>
      </c>
      <c r="C32" s="76">
        <v>31.32</v>
      </c>
      <c r="D32" s="76" t="s">
        <v>171</v>
      </c>
      <c r="E32" s="76" t="s">
        <v>247</v>
      </c>
      <c r="M32" s="73">
        <v>45954.0</v>
      </c>
      <c r="N32" s="74" t="s">
        <v>17</v>
      </c>
      <c r="O32" s="75" t="s">
        <v>180</v>
      </c>
      <c r="P32" s="75" t="s">
        <v>180</v>
      </c>
      <c r="Q32" s="75" t="s">
        <v>180</v>
      </c>
    </row>
    <row r="33">
      <c r="A33" s="73">
        <v>45954.0</v>
      </c>
      <c r="B33" s="74" t="s">
        <v>17</v>
      </c>
      <c r="C33" s="76">
        <v>73.0</v>
      </c>
      <c r="D33" s="76" t="s">
        <v>169</v>
      </c>
      <c r="E33" s="76" t="s">
        <v>214</v>
      </c>
      <c r="M33" s="73">
        <v>45954.0</v>
      </c>
      <c r="N33" s="74" t="s">
        <v>17</v>
      </c>
      <c r="O33" s="75" t="s">
        <v>180</v>
      </c>
      <c r="P33" s="75" t="s">
        <v>180</v>
      </c>
      <c r="Q33" s="75" t="s">
        <v>180</v>
      </c>
    </row>
    <row r="34">
      <c r="A34" s="73">
        <v>45955.0</v>
      </c>
      <c r="B34" s="74" t="s">
        <v>19</v>
      </c>
      <c r="C34" s="76">
        <v>24.38</v>
      </c>
      <c r="D34" s="76" t="s">
        <v>171</v>
      </c>
      <c r="E34" s="76" t="s">
        <v>259</v>
      </c>
      <c r="M34" s="73">
        <v>45955.0</v>
      </c>
      <c r="N34" s="74" t="s">
        <v>19</v>
      </c>
      <c r="O34" s="75" t="s">
        <v>180</v>
      </c>
      <c r="P34" s="75" t="s">
        <v>180</v>
      </c>
      <c r="Q34" s="75" t="s">
        <v>180</v>
      </c>
    </row>
    <row r="35">
      <c r="A35" s="73">
        <v>45956.0</v>
      </c>
      <c r="B35" s="74" t="s">
        <v>21</v>
      </c>
      <c r="C35" s="75" t="s">
        <v>180</v>
      </c>
      <c r="D35" s="75" t="s">
        <v>180</v>
      </c>
      <c r="E35" s="75" t="s">
        <v>180</v>
      </c>
      <c r="M35" s="73">
        <v>45956.0</v>
      </c>
      <c r="N35" s="74" t="s">
        <v>21</v>
      </c>
      <c r="O35" s="75" t="s">
        <v>180</v>
      </c>
      <c r="P35" s="75" t="s">
        <v>180</v>
      </c>
      <c r="Q35" s="75" t="s">
        <v>180</v>
      </c>
    </row>
    <row r="36">
      <c r="A36" s="73">
        <v>45957.0</v>
      </c>
      <c r="B36" s="74" t="s">
        <v>23</v>
      </c>
      <c r="C36" s="76">
        <v>12.0</v>
      </c>
      <c r="D36" s="76" t="s">
        <v>170</v>
      </c>
      <c r="E36" s="76" t="s">
        <v>22</v>
      </c>
      <c r="M36" s="73">
        <v>45957.0</v>
      </c>
      <c r="N36" s="74" t="s">
        <v>23</v>
      </c>
      <c r="O36" s="76">
        <v>60.0</v>
      </c>
      <c r="P36" s="76" t="s">
        <v>169</v>
      </c>
      <c r="Q36" s="76" t="s">
        <v>260</v>
      </c>
    </row>
    <row r="37">
      <c r="A37" s="73">
        <v>45958.0</v>
      </c>
      <c r="B37" s="74" t="s">
        <v>25</v>
      </c>
      <c r="C37" s="76">
        <v>39.08</v>
      </c>
      <c r="D37" s="76" t="s">
        <v>171</v>
      </c>
      <c r="E37" s="76" t="s">
        <v>247</v>
      </c>
      <c r="M37" s="73">
        <v>45958.0</v>
      </c>
      <c r="N37" s="74" t="s">
        <v>25</v>
      </c>
      <c r="O37" s="75" t="s">
        <v>180</v>
      </c>
      <c r="P37" s="75" t="s">
        <v>180</v>
      </c>
      <c r="Q37" s="75" t="s">
        <v>180</v>
      </c>
    </row>
    <row r="38">
      <c r="A38" s="73">
        <v>45959.0</v>
      </c>
      <c r="B38" s="74" t="s">
        <v>26</v>
      </c>
      <c r="C38" s="76">
        <v>20.33</v>
      </c>
      <c r="D38" s="76" t="s">
        <v>171</v>
      </c>
      <c r="E38" s="76" t="s">
        <v>259</v>
      </c>
      <c r="M38" s="73">
        <v>45959.0</v>
      </c>
      <c r="N38" s="74" t="s">
        <v>26</v>
      </c>
      <c r="O38" s="75" t="s">
        <v>180</v>
      </c>
      <c r="P38" s="75" t="s">
        <v>180</v>
      </c>
      <c r="Q38" s="75" t="s">
        <v>180</v>
      </c>
    </row>
    <row r="39">
      <c r="A39" s="73">
        <v>45959.0</v>
      </c>
      <c r="B39" s="74" t="s">
        <v>26</v>
      </c>
      <c r="C39" s="76">
        <v>1040.0</v>
      </c>
      <c r="D39" s="76" t="s">
        <v>169</v>
      </c>
      <c r="E39" s="76" t="s">
        <v>261</v>
      </c>
      <c r="M39" s="73">
        <v>45959.0</v>
      </c>
      <c r="N39" s="74" t="s">
        <v>26</v>
      </c>
      <c r="O39" s="75" t="s">
        <v>180</v>
      </c>
      <c r="P39" s="75" t="s">
        <v>180</v>
      </c>
      <c r="Q39" s="75" t="s">
        <v>180</v>
      </c>
    </row>
    <row r="40">
      <c r="A40" s="73">
        <v>45960.0</v>
      </c>
      <c r="B40" s="74" t="s">
        <v>27</v>
      </c>
      <c r="C40" s="76">
        <v>12.48</v>
      </c>
      <c r="D40" s="76" t="s">
        <v>171</v>
      </c>
      <c r="E40" s="76" t="s">
        <v>262</v>
      </c>
      <c r="M40" s="73">
        <v>45960.0</v>
      </c>
      <c r="N40" s="74" t="s">
        <v>27</v>
      </c>
      <c r="O40" s="75" t="s">
        <v>180</v>
      </c>
      <c r="P40" s="75" t="s">
        <v>180</v>
      </c>
      <c r="Q40" s="75" t="s">
        <v>180</v>
      </c>
    </row>
    <row r="41">
      <c r="A41" s="73">
        <v>45961.0</v>
      </c>
      <c r="B41" s="74" t="s">
        <v>17</v>
      </c>
      <c r="C41" s="76">
        <v>13.48</v>
      </c>
      <c r="D41" s="76" t="s">
        <v>171</v>
      </c>
      <c r="E41" s="76" t="s">
        <v>200</v>
      </c>
      <c r="M41" s="73">
        <v>45961.0</v>
      </c>
      <c r="N41" s="74" t="s">
        <v>17</v>
      </c>
      <c r="O41" s="75" t="s">
        <v>180</v>
      </c>
      <c r="P41" s="75" t="s">
        <v>180</v>
      </c>
      <c r="Q41" s="75" t="s">
        <v>180</v>
      </c>
    </row>
  </sheetData>
  <conditionalFormatting sqref="C7:E41 O7:Q41">
    <cfRule type="cellIs" dxfId="3" priority="1" operator="equal">
      <formula>"Pix"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75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45962.0</v>
      </c>
      <c r="B7" s="74" t="s">
        <v>19</v>
      </c>
      <c r="C7" s="76">
        <v>100.0</v>
      </c>
      <c r="D7" s="76" t="s">
        <v>169</v>
      </c>
      <c r="E7" s="76" t="s">
        <v>235</v>
      </c>
      <c r="G7" s="69">
        <f>K9-K8</f>
        <v>-1043.94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45962.0</v>
      </c>
      <c r="N7" s="74" t="s">
        <v>19</v>
      </c>
      <c r="O7" s="75" t="s">
        <v>180</v>
      </c>
      <c r="P7" s="75" t="s">
        <v>180</v>
      </c>
      <c r="Q7" s="75" t="s">
        <v>180</v>
      </c>
    </row>
    <row r="8">
      <c r="A8" s="73">
        <v>45963.0</v>
      </c>
      <c r="B8" s="74" t="s">
        <v>21</v>
      </c>
      <c r="C8" s="76">
        <v>4.28</v>
      </c>
      <c r="D8" s="76" t="s">
        <v>171</v>
      </c>
      <c r="E8" s="76" t="s">
        <v>256</v>
      </c>
      <c r="G8" s="70" t="s">
        <v>1</v>
      </c>
      <c r="H8" s="35">
        <f>SUMIF(D7:D38,"Pix",C7:C38)</f>
        <v>1366.41</v>
      </c>
      <c r="I8" s="35">
        <f>SUMIF(D7:D38,"Dinheiro F",C7:C38)</f>
        <v>0</v>
      </c>
      <c r="J8" s="35">
        <f>SUMIF(D7:D38,"Cartão",C7:C38)</f>
        <v>689.13</v>
      </c>
      <c r="K8" s="40">
        <f t="shared" ref="K8:K9" si="1">SUM(H8:J8)</f>
        <v>2055.54</v>
      </c>
      <c r="M8" s="73">
        <v>45963.0</v>
      </c>
      <c r="N8" s="74" t="s">
        <v>21</v>
      </c>
      <c r="O8" s="75" t="s">
        <v>180</v>
      </c>
      <c r="P8" s="75" t="s">
        <v>180</v>
      </c>
      <c r="Q8" s="75" t="s">
        <v>180</v>
      </c>
    </row>
    <row r="9">
      <c r="A9" s="73">
        <v>45964.0</v>
      </c>
      <c r="B9" s="74" t="s">
        <v>23</v>
      </c>
      <c r="C9" s="75" t="s">
        <v>180</v>
      </c>
      <c r="D9" s="75" t="s">
        <v>180</v>
      </c>
      <c r="E9" s="75" t="s">
        <v>180</v>
      </c>
      <c r="G9" s="71" t="s">
        <v>2</v>
      </c>
      <c r="H9" s="40">
        <f>SUMIF(P7:P38,"Pix",O7:O38)</f>
        <v>900</v>
      </c>
      <c r="I9" s="35">
        <f>SUMIF(P7:P38,"Dinheiro F",O7:O38)</f>
        <v>111.6</v>
      </c>
      <c r="J9" s="35">
        <f>SUMIF(P7:P38,"Cartão",O7:O38)</f>
        <v>0</v>
      </c>
      <c r="K9" s="40">
        <f t="shared" si="1"/>
        <v>1011.6</v>
      </c>
      <c r="M9" s="73">
        <v>45964.0</v>
      </c>
      <c r="N9" s="74" t="s">
        <v>23</v>
      </c>
      <c r="O9" s="75" t="s">
        <v>180</v>
      </c>
      <c r="P9" s="75" t="s">
        <v>180</v>
      </c>
      <c r="Q9" s="75" t="s">
        <v>180</v>
      </c>
    </row>
    <row r="10">
      <c r="A10" s="73">
        <v>45965.0</v>
      </c>
      <c r="B10" s="74" t="s">
        <v>25</v>
      </c>
      <c r="C10" s="76">
        <v>28.0</v>
      </c>
      <c r="D10" s="76" t="s">
        <v>171</v>
      </c>
      <c r="E10" s="76" t="s">
        <v>22</v>
      </c>
      <c r="M10" s="73">
        <v>45965.0</v>
      </c>
      <c r="N10" s="74" t="s">
        <v>25</v>
      </c>
      <c r="O10" s="75" t="s">
        <v>180</v>
      </c>
      <c r="P10" s="75" t="s">
        <v>180</v>
      </c>
      <c r="Q10" s="75" t="s">
        <v>180</v>
      </c>
    </row>
    <row r="11">
      <c r="A11" s="73">
        <v>45966.0</v>
      </c>
      <c r="B11" s="74" t="s">
        <v>26</v>
      </c>
      <c r="C11" s="76">
        <v>99.9</v>
      </c>
      <c r="D11" s="76" t="s">
        <v>169</v>
      </c>
      <c r="E11" s="76" t="s">
        <v>263</v>
      </c>
      <c r="M11" s="73">
        <v>45966.0</v>
      </c>
      <c r="N11" s="74" t="s">
        <v>26</v>
      </c>
      <c r="O11" s="75" t="s">
        <v>180</v>
      </c>
      <c r="P11" s="75" t="s">
        <v>180</v>
      </c>
      <c r="Q11" s="75" t="s">
        <v>180</v>
      </c>
    </row>
    <row r="12">
      <c r="A12" s="73">
        <v>45967.0</v>
      </c>
      <c r="B12" s="74" t="s">
        <v>27</v>
      </c>
      <c r="C12" s="76">
        <v>8.0</v>
      </c>
      <c r="D12" s="76" t="s">
        <v>171</v>
      </c>
      <c r="E12" s="76" t="s">
        <v>139</v>
      </c>
      <c r="M12" s="73">
        <v>45967.0</v>
      </c>
      <c r="N12" s="74" t="s">
        <v>27</v>
      </c>
      <c r="O12" s="75" t="s">
        <v>180</v>
      </c>
      <c r="P12" s="75" t="s">
        <v>180</v>
      </c>
      <c r="Q12" s="75" t="s">
        <v>180</v>
      </c>
    </row>
    <row r="13">
      <c r="A13" s="73">
        <v>45968.0</v>
      </c>
      <c r="B13" s="74" t="s">
        <v>17</v>
      </c>
      <c r="C13" s="76">
        <v>118.17</v>
      </c>
      <c r="D13" s="76" t="s">
        <v>171</v>
      </c>
      <c r="E13" s="76" t="s">
        <v>264</v>
      </c>
      <c r="M13" s="73">
        <v>45968.0</v>
      </c>
      <c r="N13" s="74" t="s">
        <v>17</v>
      </c>
      <c r="O13" s="75" t="s">
        <v>180</v>
      </c>
      <c r="P13" s="75" t="s">
        <v>180</v>
      </c>
      <c r="Q13" s="75" t="s">
        <v>180</v>
      </c>
    </row>
    <row r="14">
      <c r="A14" s="73">
        <v>45969.0</v>
      </c>
      <c r="B14" s="74" t="s">
        <v>19</v>
      </c>
      <c r="C14" s="76">
        <v>384.72</v>
      </c>
      <c r="D14" s="76" t="s">
        <v>169</v>
      </c>
      <c r="E14" s="76" t="s">
        <v>246</v>
      </c>
      <c r="M14" s="73">
        <v>45969.0</v>
      </c>
      <c r="N14" s="74" t="s">
        <v>19</v>
      </c>
      <c r="O14" s="75" t="s">
        <v>180</v>
      </c>
      <c r="P14" s="75" t="s">
        <v>180</v>
      </c>
      <c r="Q14" s="75" t="s">
        <v>180</v>
      </c>
    </row>
    <row r="15">
      <c r="A15" s="73">
        <v>45970.0</v>
      </c>
      <c r="B15" s="74" t="s">
        <v>21</v>
      </c>
      <c r="C15" s="76" t="s">
        <v>180</v>
      </c>
      <c r="D15" s="76" t="s">
        <v>180</v>
      </c>
      <c r="E15" s="76" t="s">
        <v>180</v>
      </c>
      <c r="M15" s="73">
        <v>45970.0</v>
      </c>
      <c r="N15" s="74" t="s">
        <v>21</v>
      </c>
      <c r="O15" s="75" t="s">
        <v>180</v>
      </c>
      <c r="P15" s="75" t="s">
        <v>180</v>
      </c>
      <c r="Q15" s="75" t="s">
        <v>180</v>
      </c>
    </row>
    <row r="16">
      <c r="A16" s="73">
        <v>45971.0</v>
      </c>
      <c r="B16" s="74" t="s">
        <v>23</v>
      </c>
      <c r="C16" s="75" t="s">
        <v>180</v>
      </c>
      <c r="D16" s="75" t="s">
        <v>180</v>
      </c>
      <c r="E16" s="75" t="s">
        <v>180</v>
      </c>
      <c r="M16" s="73">
        <v>45971.0</v>
      </c>
      <c r="N16" s="74" t="s">
        <v>23</v>
      </c>
      <c r="O16" s="75" t="s">
        <v>180</v>
      </c>
      <c r="P16" s="75" t="s">
        <v>180</v>
      </c>
      <c r="Q16" s="75" t="s">
        <v>180</v>
      </c>
    </row>
    <row r="17">
      <c r="A17" s="73">
        <v>45972.0</v>
      </c>
      <c r="B17" s="74" t="s">
        <v>25</v>
      </c>
      <c r="C17" s="76">
        <v>240.0</v>
      </c>
      <c r="D17" s="76" t="s">
        <v>171</v>
      </c>
      <c r="E17" s="76" t="s">
        <v>265</v>
      </c>
      <c r="M17" s="73">
        <v>45972.0</v>
      </c>
      <c r="N17" s="74" t="s">
        <v>25</v>
      </c>
      <c r="O17" s="75" t="s">
        <v>180</v>
      </c>
      <c r="P17" s="75" t="s">
        <v>180</v>
      </c>
      <c r="Q17" s="75" t="s">
        <v>180</v>
      </c>
    </row>
    <row r="18">
      <c r="A18" s="73">
        <v>45973.0</v>
      </c>
      <c r="B18" s="74" t="s">
        <v>26</v>
      </c>
      <c r="C18" s="76">
        <v>3.59</v>
      </c>
      <c r="D18" s="76" t="s">
        <v>171</v>
      </c>
      <c r="E18" s="76" t="s">
        <v>148</v>
      </c>
      <c r="M18" s="73">
        <v>45973.0</v>
      </c>
      <c r="N18" s="74" t="s">
        <v>26</v>
      </c>
      <c r="O18" s="75" t="s">
        <v>180</v>
      </c>
      <c r="P18" s="75" t="s">
        <v>180</v>
      </c>
      <c r="Q18" s="75" t="s">
        <v>180</v>
      </c>
    </row>
    <row r="19">
      <c r="A19" s="73">
        <v>45974.0</v>
      </c>
      <c r="B19" s="74" t="s">
        <v>27</v>
      </c>
      <c r="C19" s="76">
        <v>5.5</v>
      </c>
      <c r="D19" s="76" t="s">
        <v>171</v>
      </c>
      <c r="E19" s="76" t="s">
        <v>266</v>
      </c>
      <c r="M19" s="73">
        <v>45974.0</v>
      </c>
      <c r="N19" s="74" t="s">
        <v>27</v>
      </c>
      <c r="O19" s="75" t="s">
        <v>180</v>
      </c>
      <c r="P19" s="75" t="s">
        <v>180</v>
      </c>
      <c r="Q19" s="75" t="s">
        <v>180</v>
      </c>
    </row>
    <row r="20">
      <c r="A20" s="73">
        <v>45975.0</v>
      </c>
      <c r="B20" s="74" t="s">
        <v>17</v>
      </c>
      <c r="C20" s="76">
        <v>150.0</v>
      </c>
      <c r="D20" s="76" t="s">
        <v>171</v>
      </c>
      <c r="E20" s="76" t="s">
        <v>267</v>
      </c>
      <c r="M20" s="73">
        <v>45975.0</v>
      </c>
      <c r="N20" s="74" t="s">
        <v>17</v>
      </c>
      <c r="O20" s="76">
        <v>900.0</v>
      </c>
      <c r="P20" s="76" t="s">
        <v>169</v>
      </c>
      <c r="Q20" s="76" t="s">
        <v>268</v>
      </c>
    </row>
    <row r="21">
      <c r="A21" s="73">
        <v>45976.0</v>
      </c>
      <c r="B21" s="74" t="s">
        <v>19</v>
      </c>
      <c r="C21" s="76">
        <v>67.59</v>
      </c>
      <c r="D21" s="76" t="s">
        <v>171</v>
      </c>
      <c r="E21" s="76" t="s">
        <v>269</v>
      </c>
      <c r="M21" s="73">
        <v>45976.0</v>
      </c>
      <c r="N21" s="74" t="s">
        <v>19</v>
      </c>
      <c r="O21" s="76">
        <v>111.6</v>
      </c>
      <c r="P21" s="76" t="s">
        <v>170</v>
      </c>
      <c r="Q21" s="76" t="s">
        <v>220</v>
      </c>
    </row>
    <row r="22">
      <c r="A22" s="73">
        <v>45977.0</v>
      </c>
      <c r="B22" s="74" t="s">
        <v>21</v>
      </c>
      <c r="C22" s="75" t="s">
        <v>180</v>
      </c>
      <c r="D22" s="75" t="s">
        <v>180</v>
      </c>
      <c r="E22" s="75" t="s">
        <v>180</v>
      </c>
      <c r="M22" s="73">
        <v>45977.0</v>
      </c>
      <c r="N22" s="74" t="s">
        <v>21</v>
      </c>
      <c r="O22" s="75" t="s">
        <v>180</v>
      </c>
      <c r="P22" s="75" t="s">
        <v>180</v>
      </c>
      <c r="Q22" s="75" t="s">
        <v>180</v>
      </c>
    </row>
    <row r="23">
      <c r="A23" s="73">
        <v>45978.0</v>
      </c>
      <c r="B23" s="74" t="s">
        <v>23</v>
      </c>
      <c r="C23" s="75" t="s">
        <v>180</v>
      </c>
      <c r="D23" s="75" t="s">
        <v>180</v>
      </c>
      <c r="E23" s="75" t="s">
        <v>180</v>
      </c>
      <c r="M23" s="73">
        <v>45978.0</v>
      </c>
      <c r="N23" s="74" t="s">
        <v>23</v>
      </c>
      <c r="O23" s="75" t="s">
        <v>180</v>
      </c>
      <c r="P23" s="75" t="s">
        <v>180</v>
      </c>
      <c r="Q23" s="75" t="s">
        <v>180</v>
      </c>
    </row>
    <row r="24">
      <c r="A24" s="73">
        <v>45979.0</v>
      </c>
      <c r="B24" s="74" t="s">
        <v>25</v>
      </c>
      <c r="C24" s="76">
        <v>140.0</v>
      </c>
      <c r="D24" s="76" t="s">
        <v>169</v>
      </c>
      <c r="E24" s="76" t="s">
        <v>261</v>
      </c>
      <c r="M24" s="73">
        <v>45979.0</v>
      </c>
      <c r="N24" s="74" t="s">
        <v>25</v>
      </c>
      <c r="O24" s="75" t="s">
        <v>180</v>
      </c>
      <c r="P24" s="75" t="s">
        <v>180</v>
      </c>
      <c r="Q24" s="75" t="s">
        <v>180</v>
      </c>
    </row>
    <row r="25">
      <c r="A25" s="73">
        <v>45980.0</v>
      </c>
      <c r="B25" s="74" t="s">
        <v>26</v>
      </c>
      <c r="C25" s="76">
        <v>500.0</v>
      </c>
      <c r="D25" s="76" t="s">
        <v>169</v>
      </c>
      <c r="E25" s="76" t="s">
        <v>78</v>
      </c>
      <c r="M25" s="73">
        <v>45980.0</v>
      </c>
      <c r="N25" s="74" t="s">
        <v>26</v>
      </c>
      <c r="O25" s="75" t="s">
        <v>180</v>
      </c>
      <c r="P25" s="75" t="s">
        <v>180</v>
      </c>
      <c r="Q25" s="75" t="s">
        <v>180</v>
      </c>
    </row>
    <row r="26">
      <c r="A26" s="73">
        <v>45981.0</v>
      </c>
      <c r="B26" s="74" t="s">
        <v>27</v>
      </c>
      <c r="C26" s="75" t="s">
        <v>180</v>
      </c>
      <c r="D26" s="75" t="s">
        <v>180</v>
      </c>
      <c r="E26" s="75" t="s">
        <v>180</v>
      </c>
      <c r="M26" s="73">
        <v>45981.0</v>
      </c>
      <c r="N26" s="74" t="s">
        <v>27</v>
      </c>
      <c r="O26" s="75" t="s">
        <v>180</v>
      </c>
      <c r="P26" s="75" t="s">
        <v>180</v>
      </c>
      <c r="Q26" s="75" t="s">
        <v>180</v>
      </c>
    </row>
    <row r="27">
      <c r="A27" s="73">
        <v>45982.0</v>
      </c>
      <c r="B27" s="74" t="s">
        <v>17</v>
      </c>
      <c r="C27" s="75" t="s">
        <v>180</v>
      </c>
      <c r="D27" s="75" t="s">
        <v>180</v>
      </c>
      <c r="E27" s="75" t="s">
        <v>180</v>
      </c>
      <c r="M27" s="73">
        <v>45982.0</v>
      </c>
      <c r="N27" s="74" t="s">
        <v>17</v>
      </c>
      <c r="O27" s="75" t="s">
        <v>180</v>
      </c>
      <c r="P27" s="75" t="s">
        <v>180</v>
      </c>
      <c r="Q27" s="75" t="s">
        <v>180</v>
      </c>
    </row>
    <row r="28">
      <c r="A28" s="73">
        <v>45983.0</v>
      </c>
      <c r="B28" s="74" t="s">
        <v>19</v>
      </c>
      <c r="C28" s="75" t="s">
        <v>180</v>
      </c>
      <c r="D28" s="75" t="s">
        <v>180</v>
      </c>
      <c r="E28" s="75" t="s">
        <v>180</v>
      </c>
      <c r="M28" s="73">
        <v>45983.0</v>
      </c>
      <c r="N28" s="74" t="s">
        <v>19</v>
      </c>
      <c r="O28" s="75" t="s">
        <v>180</v>
      </c>
      <c r="P28" s="75" t="s">
        <v>180</v>
      </c>
      <c r="Q28" s="75" t="s">
        <v>180</v>
      </c>
    </row>
    <row r="29">
      <c r="A29" s="73">
        <v>45984.0</v>
      </c>
      <c r="B29" s="74" t="s">
        <v>21</v>
      </c>
      <c r="C29" s="75" t="s">
        <v>180</v>
      </c>
      <c r="D29" s="75" t="s">
        <v>180</v>
      </c>
      <c r="E29" s="75" t="s">
        <v>180</v>
      </c>
      <c r="M29" s="73">
        <v>45984.0</v>
      </c>
      <c r="N29" s="74" t="s">
        <v>21</v>
      </c>
      <c r="O29" s="75" t="s">
        <v>180</v>
      </c>
      <c r="P29" s="75" t="s">
        <v>180</v>
      </c>
      <c r="Q29" s="75" t="s">
        <v>180</v>
      </c>
    </row>
    <row r="30">
      <c r="A30" s="73">
        <v>45985.0</v>
      </c>
      <c r="B30" s="74" t="s">
        <v>23</v>
      </c>
      <c r="C30" s="76">
        <v>31.0</v>
      </c>
      <c r="D30" s="76" t="s">
        <v>169</v>
      </c>
      <c r="E30" s="76" t="s">
        <v>22</v>
      </c>
      <c r="M30" s="73">
        <v>45985.0</v>
      </c>
      <c r="N30" s="74" t="s">
        <v>23</v>
      </c>
      <c r="O30" s="75" t="s">
        <v>180</v>
      </c>
      <c r="P30" s="75" t="s">
        <v>180</v>
      </c>
      <c r="Q30" s="75" t="s">
        <v>180</v>
      </c>
    </row>
    <row r="31">
      <c r="A31" s="73">
        <v>45986.0</v>
      </c>
      <c r="B31" s="74" t="s">
        <v>25</v>
      </c>
      <c r="C31" s="76">
        <v>32.08</v>
      </c>
      <c r="D31" s="76" t="s">
        <v>169</v>
      </c>
      <c r="E31" s="76" t="s">
        <v>200</v>
      </c>
      <c r="M31" s="73">
        <v>45986.0</v>
      </c>
      <c r="N31" s="74" t="s">
        <v>25</v>
      </c>
      <c r="O31" s="75" t="s">
        <v>180</v>
      </c>
      <c r="P31" s="75" t="s">
        <v>180</v>
      </c>
      <c r="Q31" s="75" t="s">
        <v>180</v>
      </c>
    </row>
    <row r="32">
      <c r="A32" s="73">
        <v>45987.0</v>
      </c>
      <c r="B32" s="74" t="s">
        <v>26</v>
      </c>
      <c r="C32" s="76">
        <v>5.5</v>
      </c>
      <c r="D32" s="76" t="s">
        <v>169</v>
      </c>
      <c r="E32" s="76" t="s">
        <v>266</v>
      </c>
      <c r="M32" s="73">
        <v>45987.0</v>
      </c>
      <c r="N32" s="74" t="s">
        <v>26</v>
      </c>
      <c r="O32" s="75" t="s">
        <v>180</v>
      </c>
      <c r="P32" s="75" t="s">
        <v>180</v>
      </c>
      <c r="Q32" s="75" t="s">
        <v>180</v>
      </c>
    </row>
    <row r="33">
      <c r="A33" s="73">
        <v>45988.0</v>
      </c>
      <c r="B33" s="74" t="s">
        <v>27</v>
      </c>
      <c r="C33" s="76">
        <v>73.21</v>
      </c>
      <c r="D33" s="76" t="s">
        <v>169</v>
      </c>
      <c r="E33" s="76" t="s">
        <v>270</v>
      </c>
      <c r="M33" s="73">
        <v>45988.0</v>
      </c>
      <c r="N33" s="74" t="s">
        <v>27</v>
      </c>
      <c r="O33" s="75" t="s">
        <v>180</v>
      </c>
      <c r="P33" s="75" t="s">
        <v>180</v>
      </c>
      <c r="Q33" s="75" t="s">
        <v>180</v>
      </c>
    </row>
    <row r="34">
      <c r="A34" s="73">
        <v>45989.0</v>
      </c>
      <c r="B34" s="74" t="s">
        <v>17</v>
      </c>
      <c r="C34" s="76">
        <v>64.0</v>
      </c>
      <c r="D34" s="76" t="s">
        <v>171</v>
      </c>
      <c r="E34" s="76" t="s">
        <v>200</v>
      </c>
      <c r="M34" s="73">
        <v>45989.0</v>
      </c>
      <c r="N34" s="74" t="s">
        <v>17</v>
      </c>
      <c r="O34" s="75" t="s">
        <v>180</v>
      </c>
      <c r="P34" s="75" t="s">
        <v>180</v>
      </c>
      <c r="Q34" s="75" t="s">
        <v>180</v>
      </c>
    </row>
    <row r="35">
      <c r="A35" s="73">
        <v>45990.0</v>
      </c>
      <c r="B35" s="74" t="s">
        <v>19</v>
      </c>
      <c r="C35" s="75" t="s">
        <v>180</v>
      </c>
      <c r="D35" s="75" t="s">
        <v>180</v>
      </c>
      <c r="E35" s="75" t="s">
        <v>180</v>
      </c>
      <c r="M35" s="73">
        <v>45990.0</v>
      </c>
      <c r="N35" s="74" t="s">
        <v>19</v>
      </c>
      <c r="O35" s="75" t="s">
        <v>180</v>
      </c>
      <c r="P35" s="75" t="s">
        <v>180</v>
      </c>
      <c r="Q35" s="75" t="s">
        <v>180</v>
      </c>
    </row>
    <row r="36">
      <c r="A36" s="73">
        <v>45991.0</v>
      </c>
      <c r="B36" s="74" t="s">
        <v>21</v>
      </c>
      <c r="C36" s="75" t="s">
        <v>180</v>
      </c>
      <c r="D36" s="75" t="s">
        <v>180</v>
      </c>
      <c r="E36" s="75" t="s">
        <v>180</v>
      </c>
      <c r="M36" s="73">
        <v>45991.0</v>
      </c>
      <c r="N36" s="74" t="s">
        <v>21</v>
      </c>
      <c r="O36" s="75" t="s">
        <v>180</v>
      </c>
      <c r="P36" s="75" t="s">
        <v>180</v>
      </c>
      <c r="Q36" s="75" t="s">
        <v>180</v>
      </c>
    </row>
  </sheetData>
  <conditionalFormatting sqref="C7:E36 O7:Q36">
    <cfRule type="cellIs" dxfId="3" priority="1" operator="equal">
      <formula>"Pix"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25"/>
    <col customWidth="1" min="17" max="17" width="14.75"/>
  </cols>
  <sheetData>
    <row r="6">
      <c r="A6" s="72" t="s">
        <v>186</v>
      </c>
      <c r="B6" s="72" t="s">
        <v>187</v>
      </c>
      <c r="C6" s="72" t="s">
        <v>188</v>
      </c>
      <c r="D6" s="72" t="s">
        <v>189</v>
      </c>
      <c r="E6" s="72" t="s">
        <v>190</v>
      </c>
      <c r="M6" s="72" t="s">
        <v>186</v>
      </c>
      <c r="N6" s="72" t="s">
        <v>187</v>
      </c>
      <c r="O6" s="77" t="s">
        <v>191</v>
      </c>
      <c r="P6" s="72" t="s">
        <v>189</v>
      </c>
      <c r="Q6" s="72" t="s">
        <v>190</v>
      </c>
    </row>
    <row r="7">
      <c r="A7" s="73">
        <v>45992.0</v>
      </c>
      <c r="B7" s="74" t="s">
        <v>23</v>
      </c>
      <c r="C7" s="76">
        <v>35.0</v>
      </c>
      <c r="D7" s="76" t="s">
        <v>169</v>
      </c>
      <c r="E7" s="76" t="s">
        <v>29</v>
      </c>
      <c r="G7" s="69">
        <f>K9-K8</f>
        <v>-924.93</v>
      </c>
      <c r="H7" s="66" t="s">
        <v>169</v>
      </c>
      <c r="I7" s="66" t="s">
        <v>170</v>
      </c>
      <c r="J7" s="66" t="s">
        <v>171</v>
      </c>
      <c r="K7" s="66" t="s">
        <v>172</v>
      </c>
      <c r="M7" s="73">
        <v>45992.0</v>
      </c>
      <c r="N7" s="74" t="s">
        <v>23</v>
      </c>
      <c r="O7" s="75" t="s">
        <v>180</v>
      </c>
      <c r="P7" s="75" t="s">
        <v>180</v>
      </c>
      <c r="Q7" s="75" t="s">
        <v>180</v>
      </c>
    </row>
    <row r="8">
      <c r="A8" s="73">
        <v>45993.0</v>
      </c>
      <c r="B8" s="74" t="s">
        <v>25</v>
      </c>
      <c r="C8" s="76">
        <v>12.11</v>
      </c>
      <c r="D8" s="76" t="s">
        <v>171</v>
      </c>
      <c r="E8" s="76" t="s">
        <v>254</v>
      </c>
      <c r="G8" s="70" t="s">
        <v>1</v>
      </c>
      <c r="H8" s="35">
        <f>SUMIF(D7:D40,"Pix",C7:C40)</f>
        <v>1764.07</v>
      </c>
      <c r="I8" s="35">
        <f>SUMIF(D7:D40,"Dinheiro F",C7:C40)</f>
        <v>0</v>
      </c>
      <c r="J8" s="35">
        <f>SUMIF(D7:D40,"Cartão",C7:C40)</f>
        <v>60.86</v>
      </c>
      <c r="K8" s="40">
        <f t="shared" ref="K8:K9" si="1">SUM(H8:J8)</f>
        <v>1824.93</v>
      </c>
      <c r="M8" s="73">
        <v>45993.0</v>
      </c>
      <c r="N8" s="74" t="s">
        <v>25</v>
      </c>
      <c r="O8" s="75" t="s">
        <v>180</v>
      </c>
      <c r="P8" s="75" t="s">
        <v>180</v>
      </c>
      <c r="Q8" s="75" t="s">
        <v>180</v>
      </c>
    </row>
    <row r="9">
      <c r="A9" s="73">
        <v>45994.0</v>
      </c>
      <c r="B9" s="74" t="s">
        <v>26</v>
      </c>
      <c r="C9" s="75" t="s">
        <v>180</v>
      </c>
      <c r="D9" s="75" t="s">
        <v>180</v>
      </c>
      <c r="E9" s="75" t="s">
        <v>180</v>
      </c>
      <c r="G9" s="71" t="s">
        <v>2</v>
      </c>
      <c r="H9" s="40">
        <f>SUMIF(P7:P40,"Pix",O7:O40)</f>
        <v>900</v>
      </c>
      <c r="I9" s="35">
        <f>SUMIF(P7:P40,"Dinheiro F",O7:O40)</f>
        <v>0</v>
      </c>
      <c r="J9" s="35">
        <f>SUMIF(P7:P40,"Cartão",O7:O40)</f>
        <v>0</v>
      </c>
      <c r="K9" s="40">
        <f t="shared" si="1"/>
        <v>900</v>
      </c>
      <c r="M9" s="73">
        <v>45994.0</v>
      </c>
      <c r="N9" s="74" t="s">
        <v>26</v>
      </c>
      <c r="O9" s="75" t="s">
        <v>180</v>
      </c>
      <c r="P9" s="75" t="s">
        <v>180</v>
      </c>
      <c r="Q9" s="75" t="s">
        <v>180</v>
      </c>
    </row>
    <row r="10">
      <c r="A10" s="73">
        <v>45995.0</v>
      </c>
      <c r="B10" s="74" t="s">
        <v>27</v>
      </c>
      <c r="C10" s="75" t="s">
        <v>180</v>
      </c>
      <c r="D10" s="75" t="s">
        <v>180</v>
      </c>
      <c r="E10" s="75" t="s">
        <v>180</v>
      </c>
      <c r="M10" s="73">
        <v>45995.0</v>
      </c>
      <c r="N10" s="74" t="s">
        <v>27</v>
      </c>
      <c r="O10" s="75" t="s">
        <v>180</v>
      </c>
      <c r="P10" s="75" t="s">
        <v>180</v>
      </c>
      <c r="Q10" s="75" t="s">
        <v>180</v>
      </c>
    </row>
    <row r="11">
      <c r="A11" s="73">
        <v>45996.0</v>
      </c>
      <c r="B11" s="74" t="s">
        <v>17</v>
      </c>
      <c r="C11" s="75" t="s">
        <v>180</v>
      </c>
      <c r="D11" s="75" t="s">
        <v>180</v>
      </c>
      <c r="E11" s="75" t="s">
        <v>180</v>
      </c>
      <c r="M11" s="73">
        <v>45996.0</v>
      </c>
      <c r="N11" s="74" t="s">
        <v>17</v>
      </c>
      <c r="O11" s="75" t="s">
        <v>180</v>
      </c>
      <c r="P11" s="75" t="s">
        <v>180</v>
      </c>
      <c r="Q11" s="75" t="s">
        <v>180</v>
      </c>
    </row>
    <row r="12">
      <c r="A12" s="73">
        <v>45997.0</v>
      </c>
      <c r="B12" s="74" t="s">
        <v>19</v>
      </c>
      <c r="C12" s="75" t="s">
        <v>180</v>
      </c>
      <c r="D12" s="75" t="s">
        <v>180</v>
      </c>
      <c r="E12" s="75" t="s">
        <v>180</v>
      </c>
      <c r="M12" s="73">
        <v>45997.0</v>
      </c>
      <c r="N12" s="74" t="s">
        <v>19</v>
      </c>
      <c r="O12" s="75" t="s">
        <v>180</v>
      </c>
      <c r="P12" s="75" t="s">
        <v>180</v>
      </c>
      <c r="Q12" s="75" t="s">
        <v>180</v>
      </c>
    </row>
    <row r="13">
      <c r="A13" s="73">
        <v>45998.0</v>
      </c>
      <c r="B13" s="74" t="s">
        <v>21</v>
      </c>
      <c r="C13" s="75" t="s">
        <v>180</v>
      </c>
      <c r="D13" s="75" t="s">
        <v>180</v>
      </c>
      <c r="E13" s="75" t="s">
        <v>180</v>
      </c>
      <c r="M13" s="73">
        <v>45998.0</v>
      </c>
      <c r="N13" s="74" t="s">
        <v>21</v>
      </c>
      <c r="O13" s="75" t="s">
        <v>180</v>
      </c>
      <c r="P13" s="75" t="s">
        <v>180</v>
      </c>
      <c r="Q13" s="75" t="s">
        <v>180</v>
      </c>
    </row>
    <row r="14">
      <c r="A14" s="73">
        <v>45999.0</v>
      </c>
      <c r="B14" s="74" t="s">
        <v>23</v>
      </c>
      <c r="C14" s="76">
        <v>197.9</v>
      </c>
      <c r="D14" s="76" t="s">
        <v>169</v>
      </c>
      <c r="E14" s="76" t="s">
        <v>271</v>
      </c>
      <c r="M14" s="73">
        <v>45999.0</v>
      </c>
      <c r="N14" s="74" t="s">
        <v>23</v>
      </c>
      <c r="O14" s="75" t="s">
        <v>180</v>
      </c>
      <c r="P14" s="75" t="s">
        <v>180</v>
      </c>
      <c r="Q14" s="75" t="s">
        <v>180</v>
      </c>
    </row>
    <row r="15">
      <c r="A15" s="73">
        <v>46000.0</v>
      </c>
      <c r="B15" s="74" t="s">
        <v>25</v>
      </c>
      <c r="C15" s="76">
        <v>384.72</v>
      </c>
      <c r="D15" s="76" t="s">
        <v>169</v>
      </c>
      <c r="E15" s="76" t="s">
        <v>246</v>
      </c>
      <c r="M15" s="73">
        <v>46000.0</v>
      </c>
      <c r="N15" s="74" t="s">
        <v>25</v>
      </c>
      <c r="O15" s="75" t="s">
        <v>180</v>
      </c>
      <c r="P15" s="75" t="s">
        <v>180</v>
      </c>
      <c r="Q15" s="75" t="s">
        <v>180</v>
      </c>
    </row>
    <row r="16">
      <c r="A16" s="73">
        <v>46001.0</v>
      </c>
      <c r="B16" s="74" t="s">
        <v>26</v>
      </c>
      <c r="C16" s="75" t="s">
        <v>180</v>
      </c>
      <c r="D16" s="75" t="s">
        <v>180</v>
      </c>
      <c r="E16" s="75" t="s">
        <v>180</v>
      </c>
      <c r="M16" s="73">
        <v>46001.0</v>
      </c>
      <c r="N16" s="74" t="s">
        <v>26</v>
      </c>
      <c r="O16" s="75" t="s">
        <v>180</v>
      </c>
      <c r="P16" s="75" t="s">
        <v>180</v>
      </c>
      <c r="Q16" s="75" t="s">
        <v>180</v>
      </c>
    </row>
    <row r="17">
      <c r="A17" s="73">
        <v>46002.0</v>
      </c>
      <c r="B17" s="74" t="s">
        <v>27</v>
      </c>
      <c r="C17" s="75" t="s">
        <v>180</v>
      </c>
      <c r="D17" s="75" t="s">
        <v>180</v>
      </c>
      <c r="E17" s="75" t="s">
        <v>180</v>
      </c>
      <c r="M17" s="73">
        <v>46002.0</v>
      </c>
      <c r="N17" s="74" t="s">
        <v>27</v>
      </c>
      <c r="O17" s="76">
        <v>900.0</v>
      </c>
      <c r="P17" s="76" t="s">
        <v>169</v>
      </c>
      <c r="Q17" s="76" t="s">
        <v>251</v>
      </c>
    </row>
    <row r="18">
      <c r="A18" s="73">
        <v>46003.0</v>
      </c>
      <c r="B18" s="74" t="s">
        <v>17</v>
      </c>
      <c r="C18" s="75" t="s">
        <v>180</v>
      </c>
      <c r="D18" s="75" t="s">
        <v>180</v>
      </c>
      <c r="E18" s="75" t="s">
        <v>180</v>
      </c>
      <c r="M18" s="73">
        <v>46003.0</v>
      </c>
      <c r="N18" s="74" t="s">
        <v>17</v>
      </c>
      <c r="O18" s="75" t="s">
        <v>180</v>
      </c>
      <c r="P18" s="75" t="s">
        <v>180</v>
      </c>
      <c r="Q18" s="75" t="s">
        <v>180</v>
      </c>
    </row>
    <row r="19">
      <c r="A19" s="73">
        <v>46004.0</v>
      </c>
      <c r="B19" s="74" t="s">
        <v>19</v>
      </c>
      <c r="C19" s="75" t="s">
        <v>180</v>
      </c>
      <c r="D19" s="75" t="s">
        <v>180</v>
      </c>
      <c r="E19" s="75" t="s">
        <v>180</v>
      </c>
      <c r="M19" s="73">
        <v>46004.0</v>
      </c>
      <c r="N19" s="74" t="s">
        <v>19</v>
      </c>
      <c r="O19" s="75" t="s">
        <v>180</v>
      </c>
      <c r="P19" s="75" t="s">
        <v>180</v>
      </c>
      <c r="Q19" s="75" t="s">
        <v>180</v>
      </c>
    </row>
    <row r="20">
      <c r="A20" s="73">
        <v>46005.0</v>
      </c>
      <c r="B20" s="74" t="s">
        <v>21</v>
      </c>
      <c r="C20" s="75" t="s">
        <v>180</v>
      </c>
      <c r="D20" s="75" t="s">
        <v>180</v>
      </c>
      <c r="E20" s="75" t="s">
        <v>180</v>
      </c>
      <c r="M20" s="73">
        <v>46005.0</v>
      </c>
      <c r="N20" s="74" t="s">
        <v>21</v>
      </c>
      <c r="O20" s="75" t="s">
        <v>180</v>
      </c>
      <c r="P20" s="75" t="s">
        <v>180</v>
      </c>
      <c r="Q20" s="75" t="s">
        <v>180</v>
      </c>
    </row>
    <row r="21">
      <c r="A21" s="73">
        <v>46006.0</v>
      </c>
      <c r="B21" s="74" t="s">
        <v>23</v>
      </c>
      <c r="C21" s="75" t="s">
        <v>180</v>
      </c>
      <c r="D21" s="75" t="s">
        <v>180</v>
      </c>
      <c r="E21" s="75" t="s">
        <v>180</v>
      </c>
      <c r="M21" s="73">
        <v>46006.0</v>
      </c>
      <c r="N21" s="74" t="s">
        <v>23</v>
      </c>
      <c r="O21" s="75" t="s">
        <v>180</v>
      </c>
      <c r="P21" s="75" t="s">
        <v>180</v>
      </c>
      <c r="Q21" s="75" t="s">
        <v>180</v>
      </c>
    </row>
    <row r="22">
      <c r="A22" s="73">
        <v>46007.0</v>
      </c>
      <c r="B22" s="74" t="s">
        <v>25</v>
      </c>
      <c r="C22" s="75" t="s">
        <v>180</v>
      </c>
      <c r="D22" s="75" t="s">
        <v>180</v>
      </c>
      <c r="E22" s="75" t="s">
        <v>180</v>
      </c>
      <c r="M22" s="73">
        <v>46007.0</v>
      </c>
      <c r="N22" s="74" t="s">
        <v>25</v>
      </c>
      <c r="O22" s="75" t="s">
        <v>180</v>
      </c>
      <c r="P22" s="75" t="s">
        <v>180</v>
      </c>
      <c r="Q22" s="75" t="s">
        <v>180</v>
      </c>
    </row>
    <row r="23">
      <c r="A23" s="73">
        <v>46008.0</v>
      </c>
      <c r="B23" s="74" t="s">
        <v>26</v>
      </c>
      <c r="C23" s="76">
        <v>440.0</v>
      </c>
      <c r="D23" s="76" t="s">
        <v>169</v>
      </c>
      <c r="E23" s="76" t="s">
        <v>272</v>
      </c>
      <c r="M23" s="73">
        <v>46008.0</v>
      </c>
      <c r="N23" s="74" t="s">
        <v>26</v>
      </c>
      <c r="O23" s="75" t="s">
        <v>180</v>
      </c>
      <c r="P23" s="75" t="s">
        <v>180</v>
      </c>
      <c r="Q23" s="75" t="s">
        <v>180</v>
      </c>
    </row>
    <row r="24">
      <c r="A24" s="73">
        <v>46009.0</v>
      </c>
      <c r="B24" s="74" t="s">
        <v>27</v>
      </c>
      <c r="C24" s="75" t="s">
        <v>180</v>
      </c>
      <c r="D24" s="75" t="s">
        <v>180</v>
      </c>
      <c r="E24" s="75" t="s">
        <v>180</v>
      </c>
      <c r="M24" s="73">
        <v>46009.0</v>
      </c>
      <c r="N24" s="74" t="s">
        <v>27</v>
      </c>
      <c r="O24" s="75" t="s">
        <v>180</v>
      </c>
      <c r="P24" s="75" t="s">
        <v>180</v>
      </c>
      <c r="Q24" s="75" t="s">
        <v>180</v>
      </c>
    </row>
    <row r="25">
      <c r="A25" s="73">
        <v>46010.0</v>
      </c>
      <c r="B25" s="74" t="s">
        <v>17</v>
      </c>
      <c r="C25" s="76">
        <v>500.0</v>
      </c>
      <c r="D25" s="76" t="s">
        <v>169</v>
      </c>
      <c r="E25" s="76" t="s">
        <v>78</v>
      </c>
      <c r="M25" s="73">
        <v>46010.0</v>
      </c>
      <c r="N25" s="74" t="s">
        <v>17</v>
      </c>
      <c r="O25" s="75" t="s">
        <v>180</v>
      </c>
      <c r="P25" s="75" t="s">
        <v>180</v>
      </c>
      <c r="Q25" s="75" t="s">
        <v>180</v>
      </c>
    </row>
    <row r="26">
      <c r="A26" s="73">
        <v>46011.0</v>
      </c>
      <c r="B26" s="74" t="s">
        <v>19</v>
      </c>
      <c r="C26" s="75" t="s">
        <v>180</v>
      </c>
      <c r="D26" s="75" t="s">
        <v>180</v>
      </c>
      <c r="E26" s="75" t="s">
        <v>180</v>
      </c>
      <c r="M26" s="73">
        <v>46011.0</v>
      </c>
      <c r="N26" s="74" t="s">
        <v>19</v>
      </c>
      <c r="O26" s="75" t="s">
        <v>180</v>
      </c>
      <c r="P26" s="75" t="s">
        <v>180</v>
      </c>
      <c r="Q26" s="75" t="s">
        <v>180</v>
      </c>
    </row>
    <row r="27">
      <c r="A27" s="73">
        <v>46012.0</v>
      </c>
      <c r="B27" s="74" t="s">
        <v>21</v>
      </c>
      <c r="C27" s="75" t="s">
        <v>180</v>
      </c>
      <c r="D27" s="75" t="s">
        <v>180</v>
      </c>
      <c r="E27" s="75" t="s">
        <v>180</v>
      </c>
      <c r="M27" s="73">
        <v>46012.0</v>
      </c>
      <c r="N27" s="74" t="s">
        <v>21</v>
      </c>
      <c r="O27" s="75" t="s">
        <v>180</v>
      </c>
      <c r="P27" s="75" t="s">
        <v>180</v>
      </c>
      <c r="Q27" s="75" t="s">
        <v>180</v>
      </c>
    </row>
    <row r="28">
      <c r="A28" s="73">
        <v>46013.0</v>
      </c>
      <c r="B28" s="74" t="s">
        <v>23</v>
      </c>
      <c r="C28" s="75" t="s">
        <v>180</v>
      </c>
      <c r="D28" s="75" t="s">
        <v>180</v>
      </c>
      <c r="E28" s="75" t="s">
        <v>180</v>
      </c>
      <c r="M28" s="73">
        <v>46013.0</v>
      </c>
      <c r="N28" s="74" t="s">
        <v>23</v>
      </c>
      <c r="O28" s="75" t="s">
        <v>180</v>
      </c>
      <c r="P28" s="75" t="s">
        <v>180</v>
      </c>
      <c r="Q28" s="75" t="s">
        <v>180</v>
      </c>
    </row>
    <row r="29">
      <c r="A29" s="73">
        <v>46014.0</v>
      </c>
      <c r="B29" s="74" t="s">
        <v>25</v>
      </c>
      <c r="C29" s="75" t="s">
        <v>180</v>
      </c>
      <c r="D29" s="75" t="s">
        <v>180</v>
      </c>
      <c r="E29" s="75" t="s">
        <v>180</v>
      </c>
      <c r="M29" s="73">
        <v>46014.0</v>
      </c>
      <c r="N29" s="74" t="s">
        <v>25</v>
      </c>
      <c r="O29" s="75" t="s">
        <v>180</v>
      </c>
      <c r="P29" s="75" t="s">
        <v>180</v>
      </c>
      <c r="Q29" s="75" t="s">
        <v>180</v>
      </c>
    </row>
    <row r="30">
      <c r="A30" s="73">
        <v>46015.0</v>
      </c>
      <c r="B30" s="74" t="s">
        <v>26</v>
      </c>
      <c r="C30" s="75" t="s">
        <v>180</v>
      </c>
      <c r="D30" s="75" t="s">
        <v>180</v>
      </c>
      <c r="E30" s="75" t="s">
        <v>180</v>
      </c>
      <c r="M30" s="73">
        <v>46015.0</v>
      </c>
      <c r="N30" s="74" t="s">
        <v>26</v>
      </c>
      <c r="O30" s="75" t="s">
        <v>180</v>
      </c>
      <c r="P30" s="75" t="s">
        <v>180</v>
      </c>
      <c r="Q30" s="75" t="s">
        <v>180</v>
      </c>
    </row>
    <row r="31">
      <c r="A31" s="73">
        <v>46016.0</v>
      </c>
      <c r="B31" s="74" t="s">
        <v>27</v>
      </c>
      <c r="C31" s="75" t="s">
        <v>180</v>
      </c>
      <c r="D31" s="75" t="s">
        <v>180</v>
      </c>
      <c r="E31" s="75" t="s">
        <v>180</v>
      </c>
      <c r="M31" s="73">
        <v>46016.0</v>
      </c>
      <c r="N31" s="74" t="s">
        <v>27</v>
      </c>
      <c r="O31" s="75" t="s">
        <v>180</v>
      </c>
      <c r="P31" s="75" t="s">
        <v>180</v>
      </c>
      <c r="Q31" s="75" t="s">
        <v>180</v>
      </c>
    </row>
    <row r="32">
      <c r="A32" s="73">
        <v>46017.0</v>
      </c>
      <c r="B32" s="74" t="s">
        <v>17</v>
      </c>
      <c r="C32" s="75" t="s">
        <v>180</v>
      </c>
      <c r="D32" s="75" t="s">
        <v>180</v>
      </c>
      <c r="E32" s="75" t="s">
        <v>180</v>
      </c>
      <c r="M32" s="73">
        <v>46017.0</v>
      </c>
      <c r="N32" s="74" t="s">
        <v>17</v>
      </c>
      <c r="O32" s="75" t="s">
        <v>180</v>
      </c>
      <c r="P32" s="75" t="s">
        <v>180</v>
      </c>
      <c r="Q32" s="75" t="s">
        <v>180</v>
      </c>
    </row>
    <row r="33">
      <c r="A33" s="73">
        <v>46018.0</v>
      </c>
      <c r="B33" s="74" t="s">
        <v>19</v>
      </c>
      <c r="C33" s="76">
        <v>46.46</v>
      </c>
      <c r="D33" s="76" t="s">
        <v>169</v>
      </c>
      <c r="E33" s="76" t="s">
        <v>200</v>
      </c>
      <c r="M33" s="73">
        <v>46018.0</v>
      </c>
      <c r="N33" s="74" t="s">
        <v>19</v>
      </c>
      <c r="O33" s="75" t="s">
        <v>180</v>
      </c>
      <c r="P33" s="75" t="s">
        <v>180</v>
      </c>
      <c r="Q33" s="75" t="s">
        <v>180</v>
      </c>
    </row>
    <row r="34">
      <c r="A34" s="73">
        <v>46019.0</v>
      </c>
      <c r="B34" s="74" t="s">
        <v>21</v>
      </c>
      <c r="C34" s="76">
        <v>100.0</v>
      </c>
      <c r="D34" s="76" t="s">
        <v>169</v>
      </c>
      <c r="E34" s="76" t="s">
        <v>29</v>
      </c>
      <c r="M34" s="73">
        <v>46019.0</v>
      </c>
      <c r="N34" s="74" t="s">
        <v>21</v>
      </c>
      <c r="O34" s="75" t="s">
        <v>180</v>
      </c>
      <c r="P34" s="75" t="s">
        <v>180</v>
      </c>
      <c r="Q34" s="75" t="s">
        <v>180</v>
      </c>
    </row>
    <row r="35">
      <c r="A35" s="73">
        <v>46020.0</v>
      </c>
      <c r="B35" s="74" t="s">
        <v>23</v>
      </c>
      <c r="C35" s="75" t="s">
        <v>180</v>
      </c>
      <c r="D35" s="75" t="s">
        <v>180</v>
      </c>
      <c r="E35" s="75" t="s">
        <v>180</v>
      </c>
      <c r="M35" s="73">
        <v>46020.0</v>
      </c>
      <c r="N35" s="74" t="s">
        <v>23</v>
      </c>
      <c r="O35" s="75" t="s">
        <v>180</v>
      </c>
      <c r="P35" s="75" t="s">
        <v>180</v>
      </c>
      <c r="Q35" s="75" t="s">
        <v>180</v>
      </c>
    </row>
    <row r="36">
      <c r="A36" s="73">
        <v>46021.0</v>
      </c>
      <c r="B36" s="74" t="s">
        <v>25</v>
      </c>
      <c r="C36" s="76">
        <v>59.99</v>
      </c>
      <c r="D36" s="76" t="s">
        <v>169</v>
      </c>
      <c r="E36" s="76" t="s">
        <v>273</v>
      </c>
      <c r="M36" s="73">
        <v>46021.0</v>
      </c>
      <c r="N36" s="74" t="s">
        <v>25</v>
      </c>
      <c r="O36" s="75" t="s">
        <v>180</v>
      </c>
      <c r="P36" s="75" t="s">
        <v>180</v>
      </c>
      <c r="Q36" s="75" t="s">
        <v>180</v>
      </c>
    </row>
    <row r="37">
      <c r="A37" s="73">
        <v>46021.0</v>
      </c>
      <c r="B37" s="74" t="s">
        <v>25</v>
      </c>
      <c r="C37" s="76">
        <v>48.75</v>
      </c>
      <c r="D37" s="76" t="s">
        <v>171</v>
      </c>
      <c r="E37" s="76" t="s">
        <v>22</v>
      </c>
      <c r="M37" s="73">
        <v>46021.0</v>
      </c>
      <c r="N37" s="74" t="s">
        <v>25</v>
      </c>
      <c r="O37" s="75" t="s">
        <v>180</v>
      </c>
      <c r="P37" s="75" t="s">
        <v>180</v>
      </c>
      <c r="Q37" s="75" t="s">
        <v>180</v>
      </c>
    </row>
    <row r="38">
      <c r="A38" s="73">
        <v>46022.0</v>
      </c>
      <c r="B38" s="74" t="s">
        <v>26</v>
      </c>
      <c r="C38" s="75" t="s">
        <v>180</v>
      </c>
      <c r="D38" s="75" t="s">
        <v>180</v>
      </c>
      <c r="E38" s="75" t="s">
        <v>180</v>
      </c>
      <c r="M38" s="73">
        <v>46022.0</v>
      </c>
      <c r="N38" s="74" t="s">
        <v>26</v>
      </c>
      <c r="O38" s="75" t="s">
        <v>180</v>
      </c>
      <c r="P38" s="75" t="s">
        <v>180</v>
      </c>
      <c r="Q38" s="75" t="s">
        <v>180</v>
      </c>
    </row>
  </sheetData>
  <conditionalFormatting sqref="C7:E38 O7:Q38">
    <cfRule type="cellIs" dxfId="3" priority="1" operator="equal">
      <formula>"Pix"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13"/>
    <col customWidth="1" min="4" max="4" width="10.5"/>
    <col customWidth="1" min="5" max="5" width="23.75"/>
    <col customWidth="1" min="16" max="16" width="8.63"/>
    <col customWidth="1" min="17" max="17" width="21.0"/>
  </cols>
  <sheetData>
    <row r="6">
      <c r="A6" s="66" t="s">
        <v>186</v>
      </c>
      <c r="B6" s="66" t="s">
        <v>187</v>
      </c>
      <c r="C6" s="66" t="s">
        <v>188</v>
      </c>
      <c r="D6" s="66" t="s">
        <v>189</v>
      </c>
      <c r="E6" s="66" t="s">
        <v>190</v>
      </c>
      <c r="M6" s="66" t="s">
        <v>186</v>
      </c>
      <c r="N6" s="66" t="s">
        <v>187</v>
      </c>
      <c r="O6" s="66" t="s">
        <v>191</v>
      </c>
      <c r="P6" s="66" t="s">
        <v>189</v>
      </c>
      <c r="Q6" s="66" t="s">
        <v>190</v>
      </c>
    </row>
    <row r="7">
      <c r="A7" s="67">
        <v>45658.0</v>
      </c>
      <c r="B7" s="31" t="s">
        <v>26</v>
      </c>
      <c r="C7" s="40" t="s">
        <v>180</v>
      </c>
      <c r="D7" s="31" t="s">
        <v>180</v>
      </c>
      <c r="E7" s="31" t="s">
        <v>180</v>
      </c>
      <c r="F7" s="68"/>
      <c r="G7" s="69">
        <f>K9-K8</f>
        <v>597.63</v>
      </c>
      <c r="H7" s="66" t="s">
        <v>169</v>
      </c>
      <c r="I7" s="66" t="s">
        <v>170</v>
      </c>
      <c r="J7" s="66" t="s">
        <v>171</v>
      </c>
      <c r="K7" s="66" t="s">
        <v>172</v>
      </c>
      <c r="M7" s="67">
        <v>45658.0</v>
      </c>
      <c r="N7" s="31" t="s">
        <v>26</v>
      </c>
      <c r="O7" s="40" t="s">
        <v>180</v>
      </c>
      <c r="P7" s="31" t="s">
        <v>180</v>
      </c>
      <c r="Q7" s="31" t="s">
        <v>180</v>
      </c>
    </row>
    <row r="8">
      <c r="A8" s="67">
        <v>45659.0</v>
      </c>
      <c r="B8" s="31" t="s">
        <v>27</v>
      </c>
      <c r="C8" s="40">
        <v>32.0</v>
      </c>
      <c r="D8" s="31" t="s">
        <v>170</v>
      </c>
      <c r="E8" s="31" t="s">
        <v>22</v>
      </c>
      <c r="F8" s="20"/>
      <c r="G8" s="70" t="s">
        <v>1</v>
      </c>
      <c r="H8" s="35">
        <f>SUMIF(D7:D41,"Pix",C7:C41)</f>
        <v>1051.37</v>
      </c>
      <c r="I8" s="35">
        <f>SUMIF(D7:D41,"Dinheiro F",C7:C41)</f>
        <v>325.9</v>
      </c>
      <c r="J8" s="35">
        <f>SUMIF(D7:D41,"Cartão",C7:C41)</f>
        <v>113.1</v>
      </c>
      <c r="K8" s="40">
        <f t="shared" ref="K8:K9" si="1">SUM(H8:J8)</f>
        <v>1490.37</v>
      </c>
      <c r="M8" s="67">
        <v>45659.0</v>
      </c>
      <c r="N8" s="31" t="s">
        <v>27</v>
      </c>
      <c r="O8" s="40" t="s">
        <v>180</v>
      </c>
      <c r="P8" s="31" t="s">
        <v>180</v>
      </c>
      <c r="Q8" s="31" t="s">
        <v>180</v>
      </c>
    </row>
    <row r="9">
      <c r="A9" s="67">
        <v>45660.0</v>
      </c>
      <c r="B9" s="31" t="s">
        <v>17</v>
      </c>
      <c r="C9" s="40">
        <v>30.0</v>
      </c>
      <c r="D9" s="31" t="s">
        <v>170</v>
      </c>
      <c r="E9" s="31" t="s">
        <v>143</v>
      </c>
      <c r="G9" s="71" t="s">
        <v>2</v>
      </c>
      <c r="H9" s="40">
        <f>SUMIF(P7:P41,"Pix",O7:O41)</f>
        <v>1823</v>
      </c>
      <c r="I9" s="35">
        <f>SUMIF(P7:P41,"Dinheiro F",O7:O41)</f>
        <v>190</v>
      </c>
      <c r="J9" s="35">
        <f>SUMIF(P7:P41,"Cartão",O7:O41)</f>
        <v>75</v>
      </c>
      <c r="K9" s="40">
        <f t="shared" si="1"/>
        <v>2088</v>
      </c>
      <c r="M9" s="67">
        <v>45660.0</v>
      </c>
      <c r="N9" s="31" t="s">
        <v>17</v>
      </c>
      <c r="O9" s="40" t="s">
        <v>180</v>
      </c>
      <c r="P9" s="31" t="s">
        <v>180</v>
      </c>
      <c r="Q9" s="31" t="s">
        <v>180</v>
      </c>
    </row>
    <row r="10">
      <c r="A10" s="67">
        <v>45661.0</v>
      </c>
      <c r="B10" s="31" t="s">
        <v>19</v>
      </c>
      <c r="C10" s="40">
        <v>39.0</v>
      </c>
      <c r="D10" s="31" t="s">
        <v>170</v>
      </c>
      <c r="E10" s="31" t="s">
        <v>214</v>
      </c>
      <c r="M10" s="67">
        <v>45661.0</v>
      </c>
      <c r="N10" s="31" t="s">
        <v>19</v>
      </c>
      <c r="O10" s="40">
        <v>170.0</v>
      </c>
      <c r="P10" s="31" t="s">
        <v>170</v>
      </c>
      <c r="Q10" s="31" t="s">
        <v>274</v>
      </c>
    </row>
    <row r="11">
      <c r="A11" s="67">
        <v>45662.0</v>
      </c>
      <c r="B11" s="31" t="s">
        <v>21</v>
      </c>
      <c r="C11" s="40">
        <v>500.0</v>
      </c>
      <c r="D11" s="31" t="s">
        <v>169</v>
      </c>
      <c r="E11" s="31" t="s">
        <v>78</v>
      </c>
      <c r="M11" s="67">
        <v>45662.0</v>
      </c>
      <c r="N11" s="31" t="s">
        <v>21</v>
      </c>
      <c r="O11" s="40" t="s">
        <v>180</v>
      </c>
      <c r="P11" s="31" t="s">
        <v>180</v>
      </c>
      <c r="Q11" s="31" t="s">
        <v>180</v>
      </c>
    </row>
    <row r="12">
      <c r="A12" s="67">
        <v>45663.0</v>
      </c>
      <c r="B12" s="31" t="s">
        <v>23</v>
      </c>
      <c r="C12" s="40" t="s">
        <v>180</v>
      </c>
      <c r="D12" s="31" t="s">
        <v>180</v>
      </c>
      <c r="E12" s="31" t="s">
        <v>180</v>
      </c>
      <c r="M12" s="67">
        <v>45663.0</v>
      </c>
      <c r="N12" s="31" t="s">
        <v>23</v>
      </c>
      <c r="O12" s="40" t="s">
        <v>180</v>
      </c>
      <c r="P12" s="31" t="s">
        <v>180</v>
      </c>
      <c r="Q12" s="31" t="s">
        <v>180</v>
      </c>
    </row>
    <row r="13">
      <c r="A13" s="67">
        <v>45664.0</v>
      </c>
      <c r="B13" s="31" t="s">
        <v>25</v>
      </c>
      <c r="C13" s="40">
        <v>30.5</v>
      </c>
      <c r="D13" s="31" t="s">
        <v>169</v>
      </c>
      <c r="E13" s="31" t="s">
        <v>31</v>
      </c>
      <c r="M13" s="67">
        <v>45664.0</v>
      </c>
      <c r="N13" s="31" t="s">
        <v>25</v>
      </c>
      <c r="O13" s="40" t="s">
        <v>180</v>
      </c>
      <c r="P13" s="31" t="s">
        <v>180</v>
      </c>
      <c r="Q13" s="31" t="s">
        <v>180</v>
      </c>
    </row>
    <row r="14">
      <c r="A14" s="67">
        <v>45665.0</v>
      </c>
      <c r="B14" s="31" t="s">
        <v>26</v>
      </c>
      <c r="C14" s="40">
        <v>90.0</v>
      </c>
      <c r="D14" s="31" t="s">
        <v>169</v>
      </c>
      <c r="E14" s="31" t="s">
        <v>275</v>
      </c>
      <c r="M14" s="67">
        <v>45665.0</v>
      </c>
      <c r="N14" s="31" t="s">
        <v>26</v>
      </c>
      <c r="O14" s="40" t="s">
        <v>180</v>
      </c>
      <c r="P14" s="31" t="s">
        <v>180</v>
      </c>
      <c r="Q14" s="31" t="s">
        <v>180</v>
      </c>
    </row>
    <row r="15">
      <c r="A15" s="67">
        <v>45666.0</v>
      </c>
      <c r="B15" s="31" t="s">
        <v>27</v>
      </c>
      <c r="C15" s="40">
        <v>22.9</v>
      </c>
      <c r="D15" s="31" t="s">
        <v>170</v>
      </c>
      <c r="E15" s="31" t="s">
        <v>266</v>
      </c>
      <c r="M15" s="67">
        <v>45666.0</v>
      </c>
      <c r="N15" s="31" t="s">
        <v>27</v>
      </c>
      <c r="O15" s="40">
        <v>1171.0</v>
      </c>
      <c r="P15" s="31" t="s">
        <v>169</v>
      </c>
      <c r="Q15" s="31" t="s">
        <v>113</v>
      </c>
    </row>
    <row r="16">
      <c r="A16" s="67">
        <v>45667.0</v>
      </c>
      <c r="B16" s="31" t="s">
        <v>17</v>
      </c>
      <c r="C16" s="40">
        <v>18.9</v>
      </c>
      <c r="D16" s="31" t="s">
        <v>169</v>
      </c>
      <c r="E16" s="31" t="s">
        <v>276</v>
      </c>
      <c r="M16" s="67">
        <v>45667.0</v>
      </c>
      <c r="N16" s="31" t="s">
        <v>17</v>
      </c>
      <c r="O16" s="40" t="s">
        <v>180</v>
      </c>
      <c r="P16" s="31" t="s">
        <v>180</v>
      </c>
      <c r="Q16" s="31" t="s">
        <v>180</v>
      </c>
    </row>
    <row r="17">
      <c r="A17" s="67">
        <v>45667.0</v>
      </c>
      <c r="B17" s="31" t="s">
        <v>233</v>
      </c>
      <c r="C17" s="40">
        <v>76.0</v>
      </c>
      <c r="D17" s="31" t="s">
        <v>170</v>
      </c>
      <c r="E17" s="31" t="s">
        <v>277</v>
      </c>
      <c r="M17" s="67">
        <v>45667.0</v>
      </c>
      <c r="N17" s="31" t="s">
        <v>17</v>
      </c>
      <c r="O17" s="40" t="s">
        <v>180</v>
      </c>
      <c r="P17" s="31" t="s">
        <v>180</v>
      </c>
      <c r="Q17" s="31" t="s">
        <v>180</v>
      </c>
    </row>
    <row r="18">
      <c r="A18" s="67">
        <v>45668.0</v>
      </c>
      <c r="B18" s="31" t="s">
        <v>19</v>
      </c>
      <c r="C18" s="40">
        <v>42.0</v>
      </c>
      <c r="D18" s="31" t="s">
        <v>171</v>
      </c>
      <c r="E18" s="31" t="s">
        <v>92</v>
      </c>
      <c r="M18" s="67">
        <v>45668.0</v>
      </c>
      <c r="N18" s="31" t="s">
        <v>19</v>
      </c>
      <c r="O18" s="40">
        <v>20.0</v>
      </c>
      <c r="P18" s="31" t="s">
        <v>170</v>
      </c>
      <c r="Q18" s="31" t="s">
        <v>119</v>
      </c>
    </row>
    <row r="19">
      <c r="A19" s="67">
        <v>45668.0</v>
      </c>
      <c r="B19" s="31" t="s">
        <v>19</v>
      </c>
      <c r="C19" s="40">
        <v>15.0</v>
      </c>
      <c r="D19" s="31" t="s">
        <v>170</v>
      </c>
      <c r="E19" s="31" t="s">
        <v>22</v>
      </c>
      <c r="M19" s="67">
        <v>45668.0</v>
      </c>
      <c r="N19" s="31" t="s">
        <v>19</v>
      </c>
      <c r="O19" s="40" t="s">
        <v>180</v>
      </c>
      <c r="P19" s="31" t="s">
        <v>180</v>
      </c>
      <c r="Q19" s="31" t="s">
        <v>180</v>
      </c>
    </row>
    <row r="20">
      <c r="A20" s="67">
        <v>45669.0</v>
      </c>
      <c r="B20" s="31" t="s">
        <v>21</v>
      </c>
      <c r="C20" s="40">
        <v>20.0</v>
      </c>
      <c r="D20" s="31" t="s">
        <v>169</v>
      </c>
      <c r="E20" s="31" t="s">
        <v>29</v>
      </c>
      <c r="M20" s="67">
        <v>45669.0</v>
      </c>
      <c r="N20" s="31" t="s">
        <v>21</v>
      </c>
      <c r="O20" s="40" t="s">
        <v>180</v>
      </c>
      <c r="P20" s="31" t="s">
        <v>180</v>
      </c>
      <c r="Q20" s="31" t="s">
        <v>180</v>
      </c>
    </row>
    <row r="21">
      <c r="A21" s="67">
        <v>45670.0</v>
      </c>
      <c r="B21" s="31" t="s">
        <v>23</v>
      </c>
      <c r="C21" s="40" t="s">
        <v>180</v>
      </c>
      <c r="D21" s="31" t="s">
        <v>180</v>
      </c>
      <c r="E21" s="31" t="s">
        <v>180</v>
      </c>
      <c r="M21" s="67">
        <v>45670.0</v>
      </c>
      <c r="N21" s="31" t="s">
        <v>23</v>
      </c>
      <c r="O21" s="40" t="s">
        <v>180</v>
      </c>
      <c r="P21" s="31" t="s">
        <v>180</v>
      </c>
      <c r="Q21" s="31" t="s">
        <v>180</v>
      </c>
    </row>
    <row r="22">
      <c r="A22" s="67">
        <v>45671.0</v>
      </c>
      <c r="B22" s="31" t="s">
        <v>25</v>
      </c>
      <c r="C22" s="40">
        <v>62.0</v>
      </c>
      <c r="D22" s="31" t="s">
        <v>170</v>
      </c>
      <c r="E22" s="31" t="s">
        <v>22</v>
      </c>
      <c r="M22" s="67">
        <v>45671.0</v>
      </c>
      <c r="N22" s="31" t="s">
        <v>25</v>
      </c>
      <c r="O22" s="40" t="s">
        <v>180</v>
      </c>
      <c r="P22" s="31" t="s">
        <v>180</v>
      </c>
      <c r="Q22" s="31" t="s">
        <v>180</v>
      </c>
    </row>
    <row r="23">
      <c r="A23" s="67">
        <v>45672.0</v>
      </c>
      <c r="B23" s="31" t="s">
        <v>26</v>
      </c>
      <c r="C23" s="40" t="s">
        <v>180</v>
      </c>
      <c r="D23" s="31" t="s">
        <v>180</v>
      </c>
      <c r="E23" s="31" t="s">
        <v>180</v>
      </c>
      <c r="M23" s="67">
        <v>45672.0</v>
      </c>
      <c r="N23" s="31" t="s">
        <v>26</v>
      </c>
      <c r="O23" s="40" t="s">
        <v>180</v>
      </c>
      <c r="P23" s="31" t="s">
        <v>180</v>
      </c>
      <c r="Q23" s="31" t="s">
        <v>180</v>
      </c>
    </row>
    <row r="24">
      <c r="A24" s="67">
        <v>45673.0</v>
      </c>
      <c r="B24" s="31" t="s">
        <v>27</v>
      </c>
      <c r="C24" s="40">
        <v>51.0</v>
      </c>
      <c r="D24" s="31" t="s">
        <v>169</v>
      </c>
      <c r="E24" s="31" t="s">
        <v>29</v>
      </c>
      <c r="M24" s="67">
        <v>45673.0</v>
      </c>
      <c r="N24" s="31" t="s">
        <v>27</v>
      </c>
      <c r="O24" s="40">
        <v>632.0</v>
      </c>
      <c r="P24" s="31" t="s">
        <v>169</v>
      </c>
      <c r="Q24" s="31" t="s">
        <v>133</v>
      </c>
    </row>
    <row r="25">
      <c r="A25" s="67">
        <v>45674.0</v>
      </c>
      <c r="B25" s="31" t="s">
        <v>17</v>
      </c>
      <c r="C25" s="40">
        <v>51.1</v>
      </c>
      <c r="D25" s="31" t="s">
        <v>171</v>
      </c>
      <c r="E25" s="31" t="s">
        <v>149</v>
      </c>
      <c r="M25" s="67">
        <v>45674.0</v>
      </c>
      <c r="N25" s="31" t="s">
        <v>17</v>
      </c>
      <c r="O25" s="40" t="s">
        <v>180</v>
      </c>
      <c r="P25" s="31" t="s">
        <v>180</v>
      </c>
      <c r="Q25" s="31" t="s">
        <v>180</v>
      </c>
    </row>
    <row r="26">
      <c r="A26" s="67">
        <v>45675.0</v>
      </c>
      <c r="B26" s="31" t="s">
        <v>19</v>
      </c>
      <c r="C26" s="40" t="s">
        <v>180</v>
      </c>
      <c r="D26" s="31" t="s">
        <v>180</v>
      </c>
      <c r="E26" s="31" t="s">
        <v>180</v>
      </c>
      <c r="G26" s="79" t="s">
        <v>22</v>
      </c>
      <c r="H26" s="80"/>
      <c r="I26" s="81">
        <f>sumif(E8:E41,G26,C8:C41)</f>
        <v>167</v>
      </c>
      <c r="M26" s="67">
        <v>45675.0</v>
      </c>
      <c r="N26" s="31" t="s">
        <v>19</v>
      </c>
      <c r="O26" s="40" t="s">
        <v>180</v>
      </c>
      <c r="P26" s="31" t="s">
        <v>180</v>
      </c>
      <c r="Q26" s="31" t="s">
        <v>180</v>
      </c>
    </row>
    <row r="27">
      <c r="A27" s="67">
        <v>45676.0</v>
      </c>
      <c r="B27" s="31" t="s">
        <v>21</v>
      </c>
      <c r="C27" s="40">
        <v>22.0</v>
      </c>
      <c r="D27" s="31" t="s">
        <v>170</v>
      </c>
      <c r="E27" s="31" t="s">
        <v>22</v>
      </c>
      <c r="M27" s="67">
        <v>45676.0</v>
      </c>
      <c r="N27" s="31" t="s">
        <v>21</v>
      </c>
      <c r="O27" s="40" t="s">
        <v>180</v>
      </c>
      <c r="P27" s="31" t="s">
        <v>180</v>
      </c>
      <c r="Q27" s="31" t="s">
        <v>180</v>
      </c>
    </row>
    <row r="28">
      <c r="A28" s="67">
        <v>45677.0</v>
      </c>
      <c r="B28" s="31" t="s">
        <v>23</v>
      </c>
      <c r="C28" s="40">
        <v>8.0</v>
      </c>
      <c r="D28" s="31" t="s">
        <v>170</v>
      </c>
      <c r="E28" s="31" t="s">
        <v>205</v>
      </c>
      <c r="M28" s="67">
        <v>45677.0</v>
      </c>
      <c r="N28" s="31" t="s">
        <v>23</v>
      </c>
      <c r="O28" s="40" t="s">
        <v>180</v>
      </c>
      <c r="P28" s="31" t="s">
        <v>180</v>
      </c>
      <c r="Q28" s="31" t="s">
        <v>180</v>
      </c>
    </row>
    <row r="29">
      <c r="A29" s="67">
        <v>45678.0</v>
      </c>
      <c r="B29" s="31" t="s">
        <v>25</v>
      </c>
      <c r="C29" s="40">
        <v>13.0</v>
      </c>
      <c r="D29" s="31" t="s">
        <v>170</v>
      </c>
      <c r="E29" s="31" t="s">
        <v>200</v>
      </c>
      <c r="M29" s="67">
        <v>45678.0</v>
      </c>
      <c r="N29" s="31" t="s">
        <v>25</v>
      </c>
      <c r="O29" s="40" t="s">
        <v>180</v>
      </c>
      <c r="P29" s="31" t="s">
        <v>180</v>
      </c>
      <c r="Q29" s="31" t="s">
        <v>180</v>
      </c>
    </row>
    <row r="30">
      <c r="A30" s="67">
        <v>45679.0</v>
      </c>
      <c r="B30" s="31" t="s">
        <v>26</v>
      </c>
      <c r="C30" s="40">
        <v>142.0</v>
      </c>
      <c r="D30" s="31" t="s">
        <v>169</v>
      </c>
      <c r="E30" s="31" t="s">
        <v>118</v>
      </c>
      <c r="M30" s="67">
        <v>45679.0</v>
      </c>
      <c r="N30" s="31" t="s">
        <v>26</v>
      </c>
      <c r="O30" s="40" t="s">
        <v>180</v>
      </c>
      <c r="P30" s="31" t="s">
        <v>180</v>
      </c>
      <c r="Q30" s="31" t="s">
        <v>180</v>
      </c>
    </row>
    <row r="31">
      <c r="A31" s="67">
        <v>45680.0</v>
      </c>
      <c r="B31" s="31" t="s">
        <v>27</v>
      </c>
      <c r="C31" s="40" t="s">
        <v>180</v>
      </c>
      <c r="D31" s="31" t="s">
        <v>180</v>
      </c>
      <c r="E31" s="31" t="s">
        <v>180</v>
      </c>
      <c r="M31" s="67">
        <v>45680.0</v>
      </c>
      <c r="N31" s="31" t="s">
        <v>27</v>
      </c>
      <c r="O31" s="40" t="s">
        <v>180</v>
      </c>
      <c r="P31" s="31" t="s">
        <v>180</v>
      </c>
      <c r="Q31" s="31" t="s">
        <v>180</v>
      </c>
    </row>
    <row r="32">
      <c r="A32" s="67">
        <v>45681.0</v>
      </c>
      <c r="B32" s="31" t="s">
        <v>17</v>
      </c>
      <c r="C32" s="40" t="s">
        <v>180</v>
      </c>
      <c r="D32" s="31" t="s">
        <v>180</v>
      </c>
      <c r="E32" s="31" t="s">
        <v>180</v>
      </c>
      <c r="M32" s="67">
        <v>45681.0</v>
      </c>
      <c r="N32" s="31" t="s">
        <v>17</v>
      </c>
      <c r="O32" s="40" t="s">
        <v>180</v>
      </c>
      <c r="P32" s="31" t="s">
        <v>180</v>
      </c>
      <c r="Q32" s="31" t="s">
        <v>180</v>
      </c>
    </row>
    <row r="33">
      <c r="A33" s="67">
        <v>45682.0</v>
      </c>
      <c r="B33" s="31" t="s">
        <v>19</v>
      </c>
      <c r="C33" s="40" t="s">
        <v>180</v>
      </c>
      <c r="D33" s="31" t="s">
        <v>180</v>
      </c>
      <c r="E33" s="31" t="s">
        <v>180</v>
      </c>
      <c r="M33" s="67">
        <v>45682.0</v>
      </c>
      <c r="N33" s="31" t="s">
        <v>19</v>
      </c>
      <c r="O33" s="40">
        <v>20.0</v>
      </c>
      <c r="P33" s="31" t="s">
        <v>169</v>
      </c>
      <c r="Q33" s="31" t="s">
        <v>119</v>
      </c>
    </row>
    <row r="34">
      <c r="A34" s="67">
        <v>45682.0</v>
      </c>
      <c r="B34" s="31" t="s">
        <v>19</v>
      </c>
      <c r="C34" s="40">
        <v>20.0</v>
      </c>
      <c r="D34" s="31" t="s">
        <v>171</v>
      </c>
      <c r="E34" s="31" t="s">
        <v>151</v>
      </c>
      <c r="M34" s="67">
        <v>45682.0</v>
      </c>
      <c r="N34" s="31" t="s">
        <v>19</v>
      </c>
      <c r="O34" s="40" t="s">
        <v>180</v>
      </c>
      <c r="P34" s="31" t="s">
        <v>180</v>
      </c>
      <c r="Q34" s="31" t="s">
        <v>180</v>
      </c>
    </row>
    <row r="35">
      <c r="A35" s="67">
        <v>45683.0</v>
      </c>
      <c r="B35" s="31" t="s">
        <v>21</v>
      </c>
      <c r="C35" s="40">
        <v>36.0</v>
      </c>
      <c r="D35" s="31" t="s">
        <v>169</v>
      </c>
      <c r="E35" s="31" t="s">
        <v>22</v>
      </c>
      <c r="M35" s="67">
        <v>45683.0</v>
      </c>
      <c r="N35" s="31" t="s">
        <v>21</v>
      </c>
      <c r="O35" s="40" t="s">
        <v>180</v>
      </c>
      <c r="P35" s="31" t="s">
        <v>180</v>
      </c>
      <c r="Q35" s="31" t="s">
        <v>180</v>
      </c>
    </row>
    <row r="36">
      <c r="A36" s="67">
        <v>45683.0</v>
      </c>
      <c r="B36" s="31" t="s">
        <v>21</v>
      </c>
      <c r="C36" s="40">
        <v>12.0</v>
      </c>
      <c r="D36" s="31" t="s">
        <v>169</v>
      </c>
      <c r="E36" s="31" t="s">
        <v>278</v>
      </c>
      <c r="M36" s="67">
        <v>45683.0</v>
      </c>
      <c r="N36" s="31" t="s">
        <v>21</v>
      </c>
      <c r="O36" s="40" t="s">
        <v>180</v>
      </c>
      <c r="P36" s="31" t="s">
        <v>180</v>
      </c>
      <c r="Q36" s="31" t="s">
        <v>180</v>
      </c>
    </row>
    <row r="37">
      <c r="A37" s="67">
        <v>45684.0</v>
      </c>
      <c r="B37" s="31" t="s">
        <v>23</v>
      </c>
      <c r="C37" s="40">
        <v>20.97</v>
      </c>
      <c r="D37" s="31" t="s">
        <v>169</v>
      </c>
      <c r="E37" s="31" t="s">
        <v>279</v>
      </c>
      <c r="M37" s="67">
        <v>45684.0</v>
      </c>
      <c r="N37" s="31" t="s">
        <v>23</v>
      </c>
      <c r="O37" s="40" t="s">
        <v>180</v>
      </c>
      <c r="P37" s="31" t="s">
        <v>180</v>
      </c>
      <c r="Q37" s="31" t="s">
        <v>180</v>
      </c>
    </row>
    <row r="38">
      <c r="A38" s="67">
        <v>45685.0</v>
      </c>
      <c r="B38" s="31" t="s">
        <v>25</v>
      </c>
      <c r="C38" s="40">
        <v>30.0</v>
      </c>
      <c r="D38" s="31" t="s">
        <v>169</v>
      </c>
      <c r="E38" s="31" t="s">
        <v>61</v>
      </c>
      <c r="M38" s="67">
        <v>45685.0</v>
      </c>
      <c r="N38" s="31" t="s">
        <v>25</v>
      </c>
      <c r="O38" s="40" t="s">
        <v>180</v>
      </c>
      <c r="P38" s="31" t="s">
        <v>180</v>
      </c>
      <c r="Q38" s="31" t="s">
        <v>180</v>
      </c>
    </row>
    <row r="39">
      <c r="A39" s="67">
        <v>45686.0</v>
      </c>
      <c r="B39" s="31" t="s">
        <v>26</v>
      </c>
      <c r="C39" s="40">
        <v>100.0</v>
      </c>
      <c r="D39" s="31" t="s">
        <v>169</v>
      </c>
      <c r="E39" s="31" t="s">
        <v>29</v>
      </c>
      <c r="M39" s="67">
        <v>45686.0</v>
      </c>
      <c r="N39" s="31" t="s">
        <v>26</v>
      </c>
      <c r="O39" s="40" t="s">
        <v>180</v>
      </c>
      <c r="P39" s="31" t="s">
        <v>180</v>
      </c>
      <c r="Q39" s="31" t="s">
        <v>180</v>
      </c>
    </row>
    <row r="40">
      <c r="A40" s="67">
        <v>45687.0</v>
      </c>
      <c r="B40" s="31" t="s">
        <v>27</v>
      </c>
      <c r="C40" s="40">
        <v>6.0</v>
      </c>
      <c r="D40" s="31" t="s">
        <v>170</v>
      </c>
      <c r="E40" s="31" t="s">
        <v>200</v>
      </c>
      <c r="M40" s="67">
        <v>45687.0</v>
      </c>
      <c r="N40" s="31" t="s">
        <v>27</v>
      </c>
      <c r="O40" s="40">
        <v>75.0</v>
      </c>
      <c r="P40" s="31" t="s">
        <v>171</v>
      </c>
      <c r="Q40" s="31" t="s">
        <v>280</v>
      </c>
    </row>
    <row r="41">
      <c r="A41" s="67">
        <v>45688.0</v>
      </c>
      <c r="B41" s="31" t="s">
        <v>17</v>
      </c>
      <c r="C41" s="40" t="s">
        <v>180</v>
      </c>
      <c r="D41" s="31" t="s">
        <v>180</v>
      </c>
      <c r="E41" s="31" t="s">
        <v>180</v>
      </c>
      <c r="M41" s="67">
        <v>45688.0</v>
      </c>
      <c r="N41" s="31" t="s">
        <v>17</v>
      </c>
      <c r="O41" s="40" t="s">
        <v>180</v>
      </c>
      <c r="P41" s="31" t="s">
        <v>180</v>
      </c>
      <c r="Q41" s="31" t="s">
        <v>180</v>
      </c>
    </row>
    <row r="116">
      <c r="J116" s="78">
        <v>0.0</v>
      </c>
    </row>
  </sheetData>
  <conditionalFormatting sqref="C7 O7 C30:C41 O30:O41">
    <cfRule type="cellIs" dxfId="0" priority="1" operator="equal">
      <formula>"Pix"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75"/>
    <col customWidth="1" min="4" max="4" width="9.88"/>
    <col customWidth="1" min="5" max="5" width="23.75"/>
    <col customWidth="1" min="17" max="17" width="21.0"/>
  </cols>
  <sheetData>
    <row r="6">
      <c r="A6" s="66" t="s">
        <v>186</v>
      </c>
      <c r="B6" s="66" t="s">
        <v>187</v>
      </c>
      <c r="C6" s="66" t="s">
        <v>188</v>
      </c>
      <c r="D6" s="66" t="s">
        <v>189</v>
      </c>
      <c r="E6" s="66" t="s">
        <v>190</v>
      </c>
      <c r="M6" s="66" t="s">
        <v>186</v>
      </c>
      <c r="N6" s="66" t="s">
        <v>187</v>
      </c>
      <c r="O6" s="66" t="s">
        <v>191</v>
      </c>
      <c r="P6" s="66" t="s">
        <v>189</v>
      </c>
      <c r="Q6" s="66" t="s">
        <v>190</v>
      </c>
    </row>
    <row r="7">
      <c r="A7" s="67">
        <v>45717.0</v>
      </c>
      <c r="B7" s="31" t="s">
        <v>19</v>
      </c>
      <c r="C7" s="40">
        <v>125.0</v>
      </c>
      <c r="D7" s="31" t="s">
        <v>169</v>
      </c>
      <c r="E7" s="40" t="s">
        <v>281</v>
      </c>
      <c r="F7" s="68"/>
      <c r="G7" s="69">
        <f>K9-K8</f>
        <v>817.96</v>
      </c>
      <c r="H7" s="66" t="s">
        <v>169</v>
      </c>
      <c r="I7" s="66" t="s">
        <v>170</v>
      </c>
      <c r="J7" s="66" t="s">
        <v>171</v>
      </c>
      <c r="K7" s="66" t="s">
        <v>172</v>
      </c>
      <c r="M7" s="67">
        <v>45717.0</v>
      </c>
      <c r="N7" s="31" t="s">
        <v>19</v>
      </c>
      <c r="O7" s="40" t="s">
        <v>180</v>
      </c>
      <c r="P7" s="40" t="s">
        <v>180</v>
      </c>
      <c r="Q7" s="40" t="s">
        <v>180</v>
      </c>
    </row>
    <row r="8">
      <c r="A8" s="67">
        <v>45718.0</v>
      </c>
      <c r="B8" s="31" t="s">
        <v>21</v>
      </c>
      <c r="C8" s="40">
        <v>20.0</v>
      </c>
      <c r="D8" s="40" t="s">
        <v>169</v>
      </c>
      <c r="E8" s="40" t="s">
        <v>29</v>
      </c>
      <c r="G8" s="70" t="s">
        <v>1</v>
      </c>
      <c r="H8" s="35">
        <f>SUMIF(D7:D41,"Pix",C7:C41)</f>
        <v>952.73</v>
      </c>
      <c r="I8" s="35">
        <f>SUMIF(D7:D41,"Dinheiro F",C7:C41)</f>
        <v>186</v>
      </c>
      <c r="J8" s="35">
        <f>SUMIF(D7:D41,"Cartão",C7:C41)</f>
        <v>676.31</v>
      </c>
      <c r="K8" s="40">
        <f t="shared" ref="K8:K9" si="1">SUM(H8:J8)</f>
        <v>1815.04</v>
      </c>
      <c r="M8" s="67">
        <v>45718.0</v>
      </c>
      <c r="N8" s="31" t="s">
        <v>21</v>
      </c>
      <c r="O8" s="40" t="s">
        <v>180</v>
      </c>
      <c r="P8" s="40" t="s">
        <v>180</v>
      </c>
      <c r="Q8" s="40" t="s">
        <v>180</v>
      </c>
    </row>
    <row r="9">
      <c r="A9" s="67">
        <v>45719.0</v>
      </c>
      <c r="B9" s="31" t="s">
        <v>23</v>
      </c>
      <c r="C9" s="40">
        <v>53.73</v>
      </c>
      <c r="D9" s="40" t="s">
        <v>169</v>
      </c>
      <c r="E9" s="40" t="s">
        <v>282</v>
      </c>
      <c r="G9" s="71" t="s">
        <v>2</v>
      </c>
      <c r="H9" s="40">
        <f>SUMIF(P7:P41,"Pix",O7:O41)</f>
        <v>22</v>
      </c>
      <c r="I9" s="35">
        <f>SUMIF(P7:P41,"Dinheiro F",O7:O41)</f>
        <v>230</v>
      </c>
      <c r="J9" s="35">
        <f>SUMIF(P7:P41,"Cartão",O7:O41)</f>
        <v>2381</v>
      </c>
      <c r="K9" s="40">
        <f t="shared" si="1"/>
        <v>2633</v>
      </c>
      <c r="M9" s="67">
        <v>45719.0</v>
      </c>
      <c r="N9" s="31" t="s">
        <v>23</v>
      </c>
      <c r="O9" s="40" t="s">
        <v>180</v>
      </c>
      <c r="P9" s="40" t="s">
        <v>180</v>
      </c>
      <c r="Q9" s="40" t="s">
        <v>180</v>
      </c>
    </row>
    <row r="10">
      <c r="A10" s="67">
        <v>45720.0</v>
      </c>
      <c r="B10" s="31" t="s">
        <v>25</v>
      </c>
      <c r="C10" s="40">
        <v>15.0</v>
      </c>
      <c r="D10" s="40" t="s">
        <v>169</v>
      </c>
      <c r="E10" s="40" t="s">
        <v>283</v>
      </c>
      <c r="M10" s="67">
        <v>45720.0</v>
      </c>
      <c r="N10" s="31" t="s">
        <v>25</v>
      </c>
      <c r="O10" s="40" t="s">
        <v>180</v>
      </c>
      <c r="P10" s="40" t="s">
        <v>180</v>
      </c>
      <c r="Q10" s="40" t="s">
        <v>180</v>
      </c>
    </row>
    <row r="11">
      <c r="A11" s="67">
        <v>45721.0</v>
      </c>
      <c r="B11" s="31" t="s">
        <v>26</v>
      </c>
      <c r="C11" s="40">
        <v>447.0</v>
      </c>
      <c r="D11" s="40" t="s">
        <v>169</v>
      </c>
      <c r="E11" s="40" t="s">
        <v>78</v>
      </c>
      <c r="M11" s="67">
        <v>45721.0</v>
      </c>
      <c r="N11" s="31" t="s">
        <v>26</v>
      </c>
      <c r="O11" s="40">
        <v>1017.0</v>
      </c>
      <c r="P11" s="40" t="s">
        <v>171</v>
      </c>
      <c r="Q11" s="40" t="s">
        <v>113</v>
      </c>
    </row>
    <row r="12">
      <c r="A12" s="67">
        <v>45722.0</v>
      </c>
      <c r="B12" s="31" t="s">
        <v>27</v>
      </c>
      <c r="C12" s="40" t="s">
        <v>180</v>
      </c>
      <c r="D12" s="40" t="s">
        <v>180</v>
      </c>
      <c r="E12" s="40" t="s">
        <v>180</v>
      </c>
      <c r="M12" s="67">
        <v>45722.0</v>
      </c>
      <c r="N12" s="31" t="s">
        <v>27</v>
      </c>
      <c r="O12" s="40" t="s">
        <v>180</v>
      </c>
      <c r="P12" s="40" t="s">
        <v>180</v>
      </c>
      <c r="Q12" s="40" t="s">
        <v>180</v>
      </c>
    </row>
    <row r="13">
      <c r="A13" s="67">
        <v>45723.0</v>
      </c>
      <c r="B13" s="31" t="s">
        <v>17</v>
      </c>
      <c r="C13" s="40" t="s">
        <v>180</v>
      </c>
      <c r="D13" s="40" t="s">
        <v>180</v>
      </c>
      <c r="E13" s="40" t="s">
        <v>180</v>
      </c>
      <c r="M13" s="67">
        <v>45723.0</v>
      </c>
      <c r="N13" s="31" t="s">
        <v>17</v>
      </c>
      <c r="O13" s="40" t="s">
        <v>180</v>
      </c>
      <c r="P13" s="40" t="s">
        <v>180</v>
      </c>
      <c r="Q13" s="40" t="s">
        <v>180</v>
      </c>
    </row>
    <row r="14">
      <c r="A14" s="67">
        <v>45724.0</v>
      </c>
      <c r="B14" s="31" t="s">
        <v>19</v>
      </c>
      <c r="C14" s="40">
        <v>399.78</v>
      </c>
      <c r="D14" s="40" t="s">
        <v>171</v>
      </c>
      <c r="E14" s="40" t="s">
        <v>204</v>
      </c>
      <c r="M14" s="67">
        <v>45724.0</v>
      </c>
      <c r="N14" s="31" t="s">
        <v>19</v>
      </c>
      <c r="O14" s="40">
        <v>20.0</v>
      </c>
      <c r="P14" s="40" t="s">
        <v>170</v>
      </c>
      <c r="Q14" s="40" t="s">
        <v>119</v>
      </c>
    </row>
    <row r="15">
      <c r="A15" s="67">
        <v>45725.0</v>
      </c>
      <c r="B15" s="31" t="s">
        <v>21</v>
      </c>
      <c r="C15" s="40" t="s">
        <v>180</v>
      </c>
      <c r="D15" s="40" t="s">
        <v>180</v>
      </c>
      <c r="E15" s="40" t="s">
        <v>180</v>
      </c>
      <c r="M15" s="67">
        <v>45725.0</v>
      </c>
      <c r="N15" s="31" t="s">
        <v>21</v>
      </c>
      <c r="O15" s="40" t="s">
        <v>180</v>
      </c>
      <c r="P15" s="40" t="s">
        <v>180</v>
      </c>
      <c r="Q15" s="40" t="s">
        <v>180</v>
      </c>
    </row>
    <row r="16">
      <c r="A16" s="67">
        <v>45726.0</v>
      </c>
      <c r="B16" s="31" t="s">
        <v>23</v>
      </c>
      <c r="C16" s="40">
        <v>26.0</v>
      </c>
      <c r="D16" s="40" t="s">
        <v>170</v>
      </c>
      <c r="E16" s="40" t="s">
        <v>200</v>
      </c>
      <c r="M16" s="67">
        <v>45726.0</v>
      </c>
      <c r="N16" s="31" t="s">
        <v>23</v>
      </c>
      <c r="O16" s="40">
        <v>150.0</v>
      </c>
      <c r="P16" s="40" t="s">
        <v>170</v>
      </c>
      <c r="Q16" s="40" t="s">
        <v>194</v>
      </c>
    </row>
    <row r="17">
      <c r="A17" s="67">
        <v>45727.0</v>
      </c>
      <c r="B17" s="31" t="s">
        <v>25</v>
      </c>
      <c r="C17" s="40" t="s">
        <v>180</v>
      </c>
      <c r="D17" s="40" t="s">
        <v>180</v>
      </c>
      <c r="E17" s="40" t="s">
        <v>180</v>
      </c>
      <c r="M17" s="67">
        <v>45727.0</v>
      </c>
      <c r="N17" s="31" t="s">
        <v>25</v>
      </c>
      <c r="O17" s="40" t="s">
        <v>180</v>
      </c>
      <c r="P17" s="40" t="s">
        <v>180</v>
      </c>
      <c r="Q17" s="40" t="s">
        <v>180</v>
      </c>
    </row>
    <row r="18">
      <c r="A18" s="67">
        <v>45728.0</v>
      </c>
      <c r="B18" s="31" t="s">
        <v>26</v>
      </c>
      <c r="C18" s="40" t="s">
        <v>180</v>
      </c>
      <c r="D18" s="40" t="s">
        <v>180</v>
      </c>
      <c r="E18" s="40" t="s">
        <v>180</v>
      </c>
      <c r="M18" s="67">
        <v>45728.0</v>
      </c>
      <c r="N18" s="31" t="s">
        <v>26</v>
      </c>
      <c r="O18" s="40" t="s">
        <v>180</v>
      </c>
      <c r="P18" s="40" t="s">
        <v>180</v>
      </c>
      <c r="Q18" s="40" t="s">
        <v>180</v>
      </c>
    </row>
    <row r="19">
      <c r="A19" s="67">
        <v>45729.0</v>
      </c>
      <c r="B19" s="31" t="s">
        <v>27</v>
      </c>
      <c r="C19" s="40">
        <v>68.0</v>
      </c>
      <c r="D19" s="40" t="s">
        <v>169</v>
      </c>
      <c r="E19" s="40" t="s">
        <v>284</v>
      </c>
      <c r="M19" s="67">
        <v>45729.0</v>
      </c>
      <c r="N19" s="31" t="s">
        <v>27</v>
      </c>
      <c r="O19" s="40" t="s">
        <v>180</v>
      </c>
      <c r="P19" s="40" t="s">
        <v>180</v>
      </c>
      <c r="Q19" s="40" t="s">
        <v>180</v>
      </c>
    </row>
    <row r="20">
      <c r="A20" s="67">
        <v>45730.0</v>
      </c>
      <c r="B20" s="31" t="s">
        <v>17</v>
      </c>
      <c r="C20" s="40">
        <v>50.0</v>
      </c>
      <c r="D20" s="40" t="s">
        <v>169</v>
      </c>
      <c r="E20" s="40" t="s">
        <v>285</v>
      </c>
      <c r="M20" s="67">
        <v>45730.0</v>
      </c>
      <c r="N20" s="31" t="s">
        <v>17</v>
      </c>
      <c r="O20" s="40">
        <v>632.0</v>
      </c>
      <c r="P20" s="40" t="s">
        <v>171</v>
      </c>
      <c r="Q20" s="40" t="s">
        <v>133</v>
      </c>
    </row>
    <row r="21">
      <c r="A21" s="67">
        <v>45731.0</v>
      </c>
      <c r="B21" s="31" t="s">
        <v>19</v>
      </c>
      <c r="C21" s="40">
        <v>71.0</v>
      </c>
      <c r="D21" s="40" t="s">
        <v>170</v>
      </c>
      <c r="E21" s="40" t="s">
        <v>22</v>
      </c>
      <c r="M21" s="67">
        <v>45731.0</v>
      </c>
      <c r="N21" s="31" t="s">
        <v>19</v>
      </c>
      <c r="O21" s="40">
        <v>20.0</v>
      </c>
      <c r="P21" s="40" t="s">
        <v>170</v>
      </c>
      <c r="Q21" s="40" t="s">
        <v>119</v>
      </c>
    </row>
    <row r="22">
      <c r="A22" s="67">
        <v>45731.0</v>
      </c>
      <c r="B22" s="31" t="s">
        <v>286</v>
      </c>
      <c r="C22" s="40">
        <v>28.0</v>
      </c>
      <c r="D22" s="40" t="s">
        <v>170</v>
      </c>
      <c r="E22" s="40" t="s">
        <v>61</v>
      </c>
      <c r="M22" s="67">
        <v>45731.0</v>
      </c>
      <c r="N22" s="31" t="s">
        <v>286</v>
      </c>
      <c r="O22" s="40" t="s">
        <v>180</v>
      </c>
      <c r="P22" s="40" t="s">
        <v>180</v>
      </c>
      <c r="Q22" s="40" t="s">
        <v>180</v>
      </c>
    </row>
    <row r="23">
      <c r="A23" s="67">
        <v>45732.0</v>
      </c>
      <c r="B23" s="31" t="s">
        <v>21</v>
      </c>
      <c r="C23" s="40" t="s">
        <v>180</v>
      </c>
      <c r="D23" s="40" t="s">
        <v>180</v>
      </c>
      <c r="E23" s="40" t="s">
        <v>180</v>
      </c>
      <c r="M23" s="67">
        <v>45732.0</v>
      </c>
      <c r="N23" s="31" t="s">
        <v>21</v>
      </c>
      <c r="O23" s="40">
        <v>22.0</v>
      </c>
      <c r="P23" s="40" t="s">
        <v>169</v>
      </c>
      <c r="Q23" s="40" t="s">
        <v>22</v>
      </c>
    </row>
    <row r="24">
      <c r="A24" s="67">
        <v>45733.0</v>
      </c>
      <c r="B24" s="31" t="s">
        <v>23</v>
      </c>
      <c r="C24" s="40" t="s">
        <v>180</v>
      </c>
      <c r="D24" s="40" t="s">
        <v>180</v>
      </c>
      <c r="E24" s="40" t="s">
        <v>180</v>
      </c>
      <c r="M24" s="67">
        <v>45733.0</v>
      </c>
      <c r="N24" s="31" t="s">
        <v>23</v>
      </c>
      <c r="O24" s="40" t="s">
        <v>180</v>
      </c>
      <c r="P24" s="40" t="s">
        <v>180</v>
      </c>
      <c r="Q24" s="40" t="s">
        <v>180</v>
      </c>
    </row>
    <row r="25">
      <c r="A25" s="67">
        <v>45734.0</v>
      </c>
      <c r="B25" s="31" t="s">
        <v>25</v>
      </c>
      <c r="C25" s="40">
        <v>17.0</v>
      </c>
      <c r="D25" s="40" t="s">
        <v>169</v>
      </c>
      <c r="E25" s="40" t="s">
        <v>287</v>
      </c>
      <c r="M25" s="67">
        <v>45734.0</v>
      </c>
      <c r="N25" s="31" t="s">
        <v>25</v>
      </c>
      <c r="O25" s="40" t="s">
        <v>180</v>
      </c>
      <c r="P25" s="40" t="s">
        <v>180</v>
      </c>
      <c r="Q25" s="40" t="s">
        <v>180</v>
      </c>
    </row>
    <row r="26">
      <c r="A26" s="67">
        <v>45735.0</v>
      </c>
      <c r="B26" s="31" t="s">
        <v>26</v>
      </c>
      <c r="C26" s="40">
        <v>107.0</v>
      </c>
      <c r="D26" s="40" t="s">
        <v>169</v>
      </c>
      <c r="E26" s="40" t="s">
        <v>118</v>
      </c>
      <c r="M26" s="67">
        <v>45735.0</v>
      </c>
      <c r="N26" s="31" t="s">
        <v>26</v>
      </c>
      <c r="O26" s="40" t="s">
        <v>180</v>
      </c>
      <c r="P26" s="40" t="s">
        <v>180</v>
      </c>
      <c r="Q26" s="40" t="s">
        <v>180</v>
      </c>
    </row>
    <row r="27">
      <c r="A27" s="67">
        <v>45736.0</v>
      </c>
      <c r="B27" s="31" t="s">
        <v>27</v>
      </c>
      <c r="C27" s="40">
        <v>30.0</v>
      </c>
      <c r="D27" s="40" t="s">
        <v>171</v>
      </c>
      <c r="E27" s="40" t="s">
        <v>31</v>
      </c>
      <c r="M27" s="67">
        <v>45736.0</v>
      </c>
      <c r="N27" s="31" t="s">
        <v>27</v>
      </c>
      <c r="O27" s="40" t="s">
        <v>180</v>
      </c>
      <c r="P27" s="40" t="s">
        <v>180</v>
      </c>
      <c r="Q27" s="40" t="s">
        <v>180</v>
      </c>
    </row>
    <row r="28">
      <c r="A28" s="67">
        <v>45737.0</v>
      </c>
      <c r="B28" s="31" t="s">
        <v>17</v>
      </c>
      <c r="C28" s="40">
        <v>61.0</v>
      </c>
      <c r="D28" s="40" t="s">
        <v>170</v>
      </c>
      <c r="E28" s="40" t="s">
        <v>22</v>
      </c>
      <c r="M28" s="67">
        <v>45737.0</v>
      </c>
      <c r="N28" s="31" t="s">
        <v>17</v>
      </c>
      <c r="O28" s="40" t="s">
        <v>180</v>
      </c>
      <c r="P28" s="40" t="s">
        <v>180</v>
      </c>
      <c r="Q28" s="40" t="s">
        <v>180</v>
      </c>
    </row>
    <row r="29">
      <c r="A29" s="67">
        <v>45738.0</v>
      </c>
      <c r="B29" s="31" t="s">
        <v>19</v>
      </c>
      <c r="C29" s="40" t="s">
        <v>180</v>
      </c>
      <c r="D29" s="40" t="s">
        <v>180</v>
      </c>
      <c r="E29" s="40" t="s">
        <v>180</v>
      </c>
      <c r="M29" s="67">
        <v>45738.0</v>
      </c>
      <c r="N29" s="31" t="s">
        <v>19</v>
      </c>
      <c r="O29" s="40">
        <v>20.0</v>
      </c>
      <c r="P29" s="40" t="s">
        <v>170</v>
      </c>
      <c r="Q29" s="40" t="s">
        <v>119</v>
      </c>
    </row>
    <row r="30">
      <c r="A30" s="67">
        <v>45739.0</v>
      </c>
      <c r="B30" s="31" t="s">
        <v>21</v>
      </c>
      <c r="C30" s="40" t="s">
        <v>180</v>
      </c>
      <c r="D30" s="40" t="s">
        <v>180</v>
      </c>
      <c r="E30" s="40" t="s">
        <v>180</v>
      </c>
      <c r="M30" s="67">
        <v>45739.0</v>
      </c>
      <c r="N30" s="31" t="s">
        <v>21</v>
      </c>
      <c r="O30" s="40" t="s">
        <v>180</v>
      </c>
      <c r="P30" s="40" t="s">
        <v>180</v>
      </c>
      <c r="Q30" s="40" t="s">
        <v>180</v>
      </c>
    </row>
    <row r="31">
      <c r="A31" s="67">
        <v>45740.0</v>
      </c>
      <c r="B31" s="31" t="s">
        <v>23</v>
      </c>
      <c r="C31" s="40">
        <v>20.0</v>
      </c>
      <c r="D31" s="40" t="s">
        <v>169</v>
      </c>
      <c r="E31" s="40" t="s">
        <v>285</v>
      </c>
      <c r="M31" s="67">
        <v>45740.0</v>
      </c>
      <c r="N31" s="31" t="s">
        <v>23</v>
      </c>
      <c r="O31" s="40" t="s">
        <v>180</v>
      </c>
      <c r="P31" s="40" t="s">
        <v>180</v>
      </c>
      <c r="Q31" s="40" t="s">
        <v>180</v>
      </c>
    </row>
    <row r="32">
      <c r="A32" s="67">
        <v>45741.0</v>
      </c>
      <c r="B32" s="31" t="s">
        <v>25</v>
      </c>
      <c r="C32" s="40">
        <v>50.7</v>
      </c>
      <c r="D32" s="40" t="s">
        <v>171</v>
      </c>
      <c r="E32" s="40" t="s">
        <v>218</v>
      </c>
      <c r="M32" s="67">
        <v>45741.0</v>
      </c>
      <c r="N32" s="31" t="s">
        <v>25</v>
      </c>
      <c r="O32" s="40" t="s">
        <v>180</v>
      </c>
      <c r="P32" s="40" t="s">
        <v>180</v>
      </c>
      <c r="Q32" s="40" t="s">
        <v>180</v>
      </c>
    </row>
    <row r="33">
      <c r="A33" s="67">
        <v>45741.0</v>
      </c>
      <c r="B33" s="31" t="s">
        <v>25</v>
      </c>
      <c r="C33" s="40">
        <v>34.9</v>
      </c>
      <c r="D33" s="40" t="s">
        <v>171</v>
      </c>
      <c r="E33" s="40" t="s">
        <v>266</v>
      </c>
      <c r="M33" s="67">
        <v>45741.0</v>
      </c>
      <c r="N33" s="31" t="s">
        <v>25</v>
      </c>
      <c r="O33" s="40" t="s">
        <v>180</v>
      </c>
      <c r="P33" s="40" t="s">
        <v>180</v>
      </c>
      <c r="Q33" s="40" t="s">
        <v>180</v>
      </c>
    </row>
    <row r="34">
      <c r="A34" s="67">
        <v>45742.0</v>
      </c>
      <c r="B34" s="31" t="s">
        <v>26</v>
      </c>
      <c r="C34" s="40">
        <v>28.0</v>
      </c>
      <c r="D34" s="40" t="s">
        <v>171</v>
      </c>
      <c r="E34" s="40" t="s">
        <v>217</v>
      </c>
      <c r="M34" s="67">
        <v>45742.0</v>
      </c>
      <c r="N34" s="31" t="s">
        <v>26</v>
      </c>
      <c r="O34" s="40" t="s">
        <v>180</v>
      </c>
      <c r="P34" s="40" t="s">
        <v>180</v>
      </c>
      <c r="Q34" s="40" t="s">
        <v>180</v>
      </c>
    </row>
    <row r="35">
      <c r="A35" s="67">
        <v>45743.0</v>
      </c>
      <c r="B35" s="31" t="s">
        <v>27</v>
      </c>
      <c r="C35" s="40">
        <v>13.0</v>
      </c>
      <c r="D35" s="40" t="s">
        <v>171</v>
      </c>
      <c r="E35" s="40" t="s">
        <v>288</v>
      </c>
      <c r="M35" s="67">
        <v>45743.0</v>
      </c>
      <c r="N35" s="31" t="s">
        <v>27</v>
      </c>
      <c r="O35" s="40" t="s">
        <v>180</v>
      </c>
      <c r="P35" s="40" t="s">
        <v>180</v>
      </c>
      <c r="Q35" s="40" t="s">
        <v>180</v>
      </c>
    </row>
    <row r="36">
      <c r="A36" s="67">
        <v>45744.0</v>
      </c>
      <c r="B36" s="31" t="s">
        <v>17</v>
      </c>
      <c r="C36" s="40">
        <v>1.93</v>
      </c>
      <c r="D36" s="40" t="s">
        <v>171</v>
      </c>
      <c r="E36" s="40" t="s">
        <v>137</v>
      </c>
      <c r="M36" s="67">
        <v>45744.0</v>
      </c>
      <c r="N36" s="31" t="s">
        <v>17</v>
      </c>
      <c r="O36" s="40">
        <v>732.0</v>
      </c>
      <c r="P36" s="40" t="s">
        <v>171</v>
      </c>
      <c r="Q36" s="40" t="s">
        <v>113</v>
      </c>
    </row>
    <row r="37">
      <c r="A37" s="67">
        <v>45745.0</v>
      </c>
      <c r="B37" s="31" t="s">
        <v>19</v>
      </c>
      <c r="C37" s="40" t="s">
        <v>180</v>
      </c>
      <c r="D37" s="40" t="s">
        <v>180</v>
      </c>
      <c r="E37" s="40" t="s">
        <v>180</v>
      </c>
      <c r="M37" s="67">
        <v>45745.0</v>
      </c>
      <c r="N37" s="31" t="s">
        <v>19</v>
      </c>
      <c r="O37" s="40">
        <v>20.0</v>
      </c>
      <c r="P37" s="40" t="s">
        <v>170</v>
      </c>
      <c r="Q37" s="40" t="s">
        <v>119</v>
      </c>
    </row>
    <row r="38">
      <c r="A38" s="67">
        <v>45746.0</v>
      </c>
      <c r="B38" s="31" t="s">
        <v>21</v>
      </c>
      <c r="C38" s="40">
        <v>48.0</v>
      </c>
      <c r="D38" s="40" t="s">
        <v>171</v>
      </c>
      <c r="E38" s="40" t="s">
        <v>22</v>
      </c>
      <c r="M38" s="67">
        <v>45746.0</v>
      </c>
      <c r="N38" s="31" t="s">
        <v>21</v>
      </c>
      <c r="O38" s="40" t="s">
        <v>180</v>
      </c>
      <c r="P38" s="40" t="s">
        <v>180</v>
      </c>
      <c r="Q38" s="40" t="s">
        <v>180</v>
      </c>
    </row>
    <row r="39">
      <c r="A39" s="67">
        <v>45747.0</v>
      </c>
      <c r="B39" s="31" t="s">
        <v>23</v>
      </c>
      <c r="C39" s="40">
        <v>70.0</v>
      </c>
      <c r="D39" s="40" t="s">
        <v>171</v>
      </c>
      <c r="E39" s="40" t="s">
        <v>289</v>
      </c>
      <c r="M39" s="67">
        <v>45747.0</v>
      </c>
      <c r="N39" s="31" t="s">
        <v>23</v>
      </c>
      <c r="O39" s="40" t="s">
        <v>180</v>
      </c>
      <c r="P39" s="40" t="s">
        <v>180</v>
      </c>
      <c r="Q39" s="40" t="s">
        <v>180</v>
      </c>
    </row>
    <row r="40">
      <c r="A40" s="67">
        <v>45747.0</v>
      </c>
      <c r="B40" s="31" t="s">
        <v>23</v>
      </c>
      <c r="C40" s="40">
        <v>30.0</v>
      </c>
      <c r="D40" s="40" t="s">
        <v>169</v>
      </c>
      <c r="E40" s="40" t="s">
        <v>29</v>
      </c>
    </row>
  </sheetData>
  <conditionalFormatting sqref="C7:C40 E7:E40 O7:Q39 D8:D40">
    <cfRule type="cellIs" dxfId="3" priority="1" operator="equal">
      <formula>"Pix"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9.75"/>
    <col customWidth="1" min="5" max="5" width="23.75"/>
    <col customWidth="1" min="17" max="17" width="21.0"/>
  </cols>
  <sheetData>
    <row r="6">
      <c r="A6" s="66" t="s">
        <v>186</v>
      </c>
      <c r="B6" s="66" t="s">
        <v>187</v>
      </c>
      <c r="C6" s="66" t="s">
        <v>188</v>
      </c>
      <c r="D6" s="66" t="s">
        <v>189</v>
      </c>
      <c r="E6" s="66" t="s">
        <v>190</v>
      </c>
      <c r="M6" s="66" t="s">
        <v>186</v>
      </c>
      <c r="N6" s="66" t="s">
        <v>187</v>
      </c>
      <c r="O6" s="66" t="s">
        <v>191</v>
      </c>
      <c r="P6" s="66" t="s">
        <v>189</v>
      </c>
      <c r="Q6" s="66" t="s">
        <v>190</v>
      </c>
    </row>
    <row r="7">
      <c r="A7" s="67">
        <v>45689.0</v>
      </c>
      <c r="B7" s="31" t="s">
        <v>19</v>
      </c>
      <c r="C7" s="40">
        <v>4.0</v>
      </c>
      <c r="D7" s="31" t="s">
        <v>170</v>
      </c>
      <c r="E7" s="40" t="s">
        <v>139</v>
      </c>
      <c r="F7" s="68"/>
      <c r="G7" s="69">
        <f>K9-K8</f>
        <v>4408.11</v>
      </c>
      <c r="H7" s="66" t="s">
        <v>169</v>
      </c>
      <c r="I7" s="66" t="s">
        <v>170</v>
      </c>
      <c r="J7" s="66" t="s">
        <v>171</v>
      </c>
      <c r="K7" s="66" t="s">
        <v>172</v>
      </c>
      <c r="M7" s="67">
        <v>45689.0</v>
      </c>
      <c r="N7" s="31" t="s">
        <v>19</v>
      </c>
      <c r="O7" s="40" t="s">
        <v>180</v>
      </c>
      <c r="P7" s="40" t="s">
        <v>180</v>
      </c>
      <c r="Q7" s="40" t="s">
        <v>180</v>
      </c>
    </row>
    <row r="8">
      <c r="A8" s="67">
        <v>45690.0</v>
      </c>
      <c r="B8" s="31" t="s">
        <v>21</v>
      </c>
      <c r="C8" s="40">
        <v>32.0</v>
      </c>
      <c r="D8" s="40" t="s">
        <v>169</v>
      </c>
      <c r="E8" s="40" t="s">
        <v>22</v>
      </c>
      <c r="G8" s="70" t="s">
        <v>1</v>
      </c>
      <c r="H8" s="35">
        <f>SUMIF(D7:D41,"Pix",C7:C41)</f>
        <v>932</v>
      </c>
      <c r="I8" s="35">
        <f>SUMIF(D7:D41,"Dinheiro F",C7:C41)</f>
        <v>300.1</v>
      </c>
      <c r="J8" s="35">
        <f>SUMIF(D7:D41,"Cartão",C7:C41)</f>
        <v>581.79</v>
      </c>
      <c r="K8" s="40">
        <f t="shared" ref="K8:K9" si="1">SUM(H8:J8)</f>
        <v>1813.89</v>
      </c>
      <c r="M8" s="67">
        <v>45690.0</v>
      </c>
      <c r="N8" s="31" t="s">
        <v>21</v>
      </c>
      <c r="O8" s="40" t="s">
        <v>180</v>
      </c>
      <c r="P8" s="40" t="s">
        <v>180</v>
      </c>
      <c r="Q8" s="40" t="s">
        <v>180</v>
      </c>
    </row>
    <row r="9">
      <c r="A9" s="67">
        <v>45691.0</v>
      </c>
      <c r="B9" s="31" t="s">
        <v>23</v>
      </c>
      <c r="C9" s="40">
        <v>10.0</v>
      </c>
      <c r="D9" s="40" t="s">
        <v>170</v>
      </c>
      <c r="E9" s="40" t="s">
        <v>290</v>
      </c>
      <c r="G9" s="71" t="s">
        <v>2</v>
      </c>
      <c r="H9" s="40">
        <f>SUMIF(P7:P41,"Pix",O7:O41)</f>
        <v>4000</v>
      </c>
      <c r="I9" s="35">
        <f>SUMIF(P7:P41,"Dinheiro F",O7:O41)</f>
        <v>330</v>
      </c>
      <c r="J9" s="35">
        <f>SUMIF(P7:P41,"Cartão",O7:O41)</f>
        <v>1892</v>
      </c>
      <c r="K9" s="40">
        <f t="shared" si="1"/>
        <v>6222</v>
      </c>
      <c r="M9" s="67">
        <v>45691.0</v>
      </c>
      <c r="N9" s="31" t="s">
        <v>23</v>
      </c>
      <c r="O9" s="40" t="s">
        <v>180</v>
      </c>
      <c r="P9" s="40" t="s">
        <v>180</v>
      </c>
      <c r="Q9" s="40" t="s">
        <v>180</v>
      </c>
    </row>
    <row r="10">
      <c r="A10" s="67">
        <v>45691.0</v>
      </c>
      <c r="B10" s="31" t="s">
        <v>23</v>
      </c>
      <c r="C10" s="40">
        <v>60.0</v>
      </c>
      <c r="D10" s="40" t="s">
        <v>171</v>
      </c>
      <c r="E10" s="40" t="s">
        <v>291</v>
      </c>
      <c r="M10" s="67">
        <v>45691.0</v>
      </c>
      <c r="N10" s="31" t="s">
        <v>23</v>
      </c>
      <c r="O10" s="40" t="s">
        <v>180</v>
      </c>
      <c r="P10" s="40" t="s">
        <v>180</v>
      </c>
      <c r="Q10" s="40" t="s">
        <v>180</v>
      </c>
    </row>
    <row r="11">
      <c r="A11" s="67">
        <v>45691.0</v>
      </c>
      <c r="B11" s="31" t="s">
        <v>23</v>
      </c>
      <c r="C11" s="40">
        <v>25.0</v>
      </c>
      <c r="D11" s="40" t="s">
        <v>169</v>
      </c>
      <c r="E11" s="40" t="s">
        <v>292</v>
      </c>
      <c r="M11" s="67">
        <v>45691.0</v>
      </c>
      <c r="N11" s="31" t="s">
        <v>23</v>
      </c>
      <c r="O11" s="40" t="s">
        <v>180</v>
      </c>
      <c r="P11" s="40" t="s">
        <v>180</v>
      </c>
      <c r="Q11" s="40" t="s">
        <v>180</v>
      </c>
    </row>
    <row r="12">
      <c r="A12" s="67">
        <v>45692.0</v>
      </c>
      <c r="B12" s="31" t="s">
        <v>25</v>
      </c>
      <c r="C12" s="40" t="s">
        <v>180</v>
      </c>
      <c r="D12" s="40" t="s">
        <v>180</v>
      </c>
      <c r="E12" s="40" t="s">
        <v>180</v>
      </c>
      <c r="M12" s="67">
        <v>45692.0</v>
      </c>
      <c r="N12" s="31" t="s">
        <v>25</v>
      </c>
      <c r="O12" s="40" t="s">
        <v>180</v>
      </c>
      <c r="P12" s="40" t="s">
        <v>180</v>
      </c>
      <c r="Q12" s="40" t="s">
        <v>180</v>
      </c>
    </row>
    <row r="13">
      <c r="A13" s="67">
        <v>45693.0</v>
      </c>
      <c r="B13" s="31" t="s">
        <v>26</v>
      </c>
      <c r="C13" s="40">
        <v>500.0</v>
      </c>
      <c r="D13" s="40" t="s">
        <v>169</v>
      </c>
      <c r="E13" s="40" t="s">
        <v>78</v>
      </c>
      <c r="M13" s="67">
        <v>45693.0</v>
      </c>
      <c r="N13" s="31" t="s">
        <v>26</v>
      </c>
      <c r="O13" s="40">
        <v>1260.0</v>
      </c>
      <c r="P13" s="40" t="s">
        <v>171</v>
      </c>
      <c r="Q13" s="40" t="s">
        <v>113</v>
      </c>
    </row>
    <row r="14">
      <c r="A14" s="67">
        <v>45694.0</v>
      </c>
      <c r="B14" s="31" t="s">
        <v>27</v>
      </c>
      <c r="C14" s="40">
        <v>18.9</v>
      </c>
      <c r="D14" s="40" t="s">
        <v>171</v>
      </c>
      <c r="E14" s="40" t="s">
        <v>276</v>
      </c>
      <c r="M14" s="67">
        <v>45694.0</v>
      </c>
      <c r="N14" s="31" t="s">
        <v>27</v>
      </c>
      <c r="O14" s="40">
        <v>150.0</v>
      </c>
      <c r="P14" s="40" t="s">
        <v>170</v>
      </c>
      <c r="Q14" s="40" t="s">
        <v>194</v>
      </c>
    </row>
    <row r="15">
      <c r="A15" s="67">
        <v>45695.0</v>
      </c>
      <c r="B15" s="31" t="s">
        <v>17</v>
      </c>
      <c r="C15" s="40">
        <v>110.0</v>
      </c>
      <c r="D15" s="40" t="s">
        <v>170</v>
      </c>
      <c r="E15" s="40" t="s">
        <v>293</v>
      </c>
      <c r="M15" s="67">
        <v>45695.0</v>
      </c>
      <c r="N15" s="31" t="s">
        <v>17</v>
      </c>
      <c r="O15" s="40">
        <v>120.0</v>
      </c>
      <c r="P15" s="40" t="s">
        <v>170</v>
      </c>
      <c r="Q15" s="40" t="s">
        <v>294</v>
      </c>
    </row>
    <row r="16">
      <c r="A16" s="67">
        <v>45696.0</v>
      </c>
      <c r="B16" s="31" t="s">
        <v>19</v>
      </c>
      <c r="C16" s="40">
        <v>15.0</v>
      </c>
      <c r="D16" s="40" t="s">
        <v>169</v>
      </c>
      <c r="E16" s="40" t="s">
        <v>283</v>
      </c>
      <c r="M16" s="67">
        <v>45696.0</v>
      </c>
      <c r="N16" s="31" t="s">
        <v>19</v>
      </c>
      <c r="O16" s="40">
        <v>20.0</v>
      </c>
      <c r="P16" s="40" t="s">
        <v>170</v>
      </c>
      <c r="Q16" s="40" t="s">
        <v>119</v>
      </c>
    </row>
    <row r="17">
      <c r="A17" s="67">
        <v>45697.0</v>
      </c>
      <c r="B17" s="31" t="s">
        <v>21</v>
      </c>
      <c r="C17" s="40">
        <v>33.4</v>
      </c>
      <c r="D17" s="40" t="s">
        <v>170</v>
      </c>
      <c r="E17" s="40" t="s">
        <v>278</v>
      </c>
      <c r="M17" s="67">
        <v>45697.0</v>
      </c>
      <c r="N17" s="31" t="s">
        <v>21</v>
      </c>
      <c r="O17" s="40" t="s">
        <v>180</v>
      </c>
      <c r="P17" s="40" t="s">
        <v>180</v>
      </c>
      <c r="Q17" s="40" t="s">
        <v>180</v>
      </c>
    </row>
    <row r="18">
      <c r="A18" s="67">
        <v>45698.0</v>
      </c>
      <c r="B18" s="31" t="s">
        <v>23</v>
      </c>
      <c r="C18" s="40">
        <v>64.0</v>
      </c>
      <c r="D18" s="40" t="s">
        <v>170</v>
      </c>
      <c r="E18" s="40" t="s">
        <v>22</v>
      </c>
      <c r="M18" s="67">
        <v>45698.0</v>
      </c>
      <c r="N18" s="31" t="s">
        <v>23</v>
      </c>
      <c r="O18" s="40" t="s">
        <v>180</v>
      </c>
      <c r="P18" s="40" t="s">
        <v>180</v>
      </c>
      <c r="Q18" s="40" t="s">
        <v>180</v>
      </c>
    </row>
    <row r="19">
      <c r="A19" s="67">
        <v>45699.0</v>
      </c>
      <c r="B19" s="31" t="s">
        <v>25</v>
      </c>
      <c r="C19" s="40">
        <v>150.0</v>
      </c>
      <c r="D19" s="40" t="s">
        <v>169</v>
      </c>
      <c r="E19" s="40" t="s">
        <v>295</v>
      </c>
      <c r="M19" s="67">
        <v>45699.0</v>
      </c>
      <c r="N19" s="31" t="s">
        <v>25</v>
      </c>
      <c r="O19" s="40" t="s">
        <v>180</v>
      </c>
      <c r="P19" s="40" t="s">
        <v>180</v>
      </c>
      <c r="Q19" s="40" t="s">
        <v>180</v>
      </c>
    </row>
    <row r="20">
      <c r="A20" s="67">
        <v>45700.0</v>
      </c>
      <c r="B20" s="31" t="s">
        <v>26</v>
      </c>
      <c r="C20" s="40">
        <v>18.5</v>
      </c>
      <c r="D20" s="40" t="s">
        <v>170</v>
      </c>
      <c r="E20" s="40" t="s">
        <v>139</v>
      </c>
      <c r="M20" s="67">
        <v>45700.0</v>
      </c>
      <c r="N20" s="31" t="s">
        <v>26</v>
      </c>
      <c r="O20" s="40" t="s">
        <v>180</v>
      </c>
      <c r="P20" s="40" t="s">
        <v>180</v>
      </c>
      <c r="Q20" s="40" t="s">
        <v>180</v>
      </c>
    </row>
    <row r="21">
      <c r="A21" s="67">
        <v>45701.0</v>
      </c>
      <c r="B21" s="31" t="s">
        <v>27</v>
      </c>
      <c r="C21" s="40">
        <v>26.0</v>
      </c>
      <c r="D21" s="40" t="s">
        <v>171</v>
      </c>
      <c r="E21" s="40" t="s">
        <v>296</v>
      </c>
      <c r="M21" s="67">
        <v>45701.0</v>
      </c>
      <c r="N21" s="31" t="s">
        <v>27</v>
      </c>
      <c r="O21" s="40">
        <v>4000.0</v>
      </c>
      <c r="P21" s="40" t="s">
        <v>169</v>
      </c>
      <c r="Q21" s="40" t="s">
        <v>232</v>
      </c>
    </row>
    <row r="22">
      <c r="A22" s="67">
        <v>45702.0</v>
      </c>
      <c r="B22" s="31" t="s">
        <v>17</v>
      </c>
      <c r="C22" s="40" t="s">
        <v>180</v>
      </c>
      <c r="D22" s="40" t="s">
        <v>180</v>
      </c>
      <c r="E22" s="40" t="s">
        <v>180</v>
      </c>
      <c r="M22" s="67">
        <v>45702.0</v>
      </c>
      <c r="N22" s="31" t="s">
        <v>17</v>
      </c>
      <c r="O22" s="40">
        <v>632.0</v>
      </c>
      <c r="P22" s="40" t="s">
        <v>171</v>
      </c>
      <c r="Q22" s="40" t="s">
        <v>133</v>
      </c>
    </row>
    <row r="23">
      <c r="A23" s="67">
        <v>45703.0</v>
      </c>
      <c r="B23" s="31" t="s">
        <v>19</v>
      </c>
      <c r="C23" s="40" t="s">
        <v>180</v>
      </c>
      <c r="D23" s="40" t="s">
        <v>180</v>
      </c>
      <c r="E23" s="40" t="s">
        <v>180</v>
      </c>
      <c r="M23" s="67">
        <v>45703.0</v>
      </c>
      <c r="N23" s="31" t="s">
        <v>19</v>
      </c>
      <c r="O23" s="40">
        <v>20.0</v>
      </c>
      <c r="P23" s="40" t="s">
        <v>170</v>
      </c>
      <c r="Q23" s="40" t="s">
        <v>119</v>
      </c>
    </row>
    <row r="24">
      <c r="A24" s="67">
        <v>45704.0</v>
      </c>
      <c r="B24" s="31" t="s">
        <v>21</v>
      </c>
      <c r="C24" s="40">
        <v>7.11</v>
      </c>
      <c r="D24" s="40" t="s">
        <v>171</v>
      </c>
      <c r="E24" s="40" t="s">
        <v>22</v>
      </c>
      <c r="M24" s="67">
        <v>45704.0</v>
      </c>
      <c r="N24" s="31" t="s">
        <v>21</v>
      </c>
      <c r="O24" s="40" t="s">
        <v>180</v>
      </c>
      <c r="P24" s="40" t="s">
        <v>180</v>
      </c>
      <c r="Q24" s="40" t="s">
        <v>180</v>
      </c>
    </row>
    <row r="25">
      <c r="A25" s="67">
        <v>45705.0</v>
      </c>
      <c r="B25" s="31" t="s">
        <v>23</v>
      </c>
      <c r="C25" s="40">
        <v>30.0</v>
      </c>
      <c r="D25" s="40" t="s">
        <v>171</v>
      </c>
      <c r="E25" s="40" t="s">
        <v>31</v>
      </c>
      <c r="M25" s="67">
        <v>45705.0</v>
      </c>
      <c r="N25" s="31" t="s">
        <v>23</v>
      </c>
      <c r="O25" s="40" t="s">
        <v>180</v>
      </c>
      <c r="P25" s="40" t="s">
        <v>180</v>
      </c>
      <c r="Q25" s="40" t="s">
        <v>180</v>
      </c>
    </row>
    <row r="26">
      <c r="A26" s="67">
        <v>45706.0</v>
      </c>
      <c r="B26" s="31" t="s">
        <v>25</v>
      </c>
      <c r="C26" s="40">
        <v>32.0</v>
      </c>
      <c r="D26" s="40" t="s">
        <v>171</v>
      </c>
      <c r="E26" s="40" t="s">
        <v>149</v>
      </c>
      <c r="M26" s="67">
        <v>45706.0</v>
      </c>
      <c r="N26" s="31" t="s">
        <v>25</v>
      </c>
      <c r="O26" s="40" t="s">
        <v>180</v>
      </c>
      <c r="P26" s="40" t="s">
        <v>180</v>
      </c>
      <c r="Q26" s="40" t="s">
        <v>180</v>
      </c>
    </row>
    <row r="27">
      <c r="A27" s="67">
        <v>45707.0</v>
      </c>
      <c r="B27" s="31" t="s">
        <v>26</v>
      </c>
      <c r="C27" s="40">
        <v>47.2</v>
      </c>
      <c r="D27" s="40" t="s">
        <v>170</v>
      </c>
      <c r="E27" s="40" t="s">
        <v>297</v>
      </c>
      <c r="M27" s="67">
        <v>45707.0</v>
      </c>
      <c r="N27" s="31" t="s">
        <v>26</v>
      </c>
      <c r="O27" s="40" t="s">
        <v>180</v>
      </c>
      <c r="P27" s="40" t="s">
        <v>180</v>
      </c>
      <c r="Q27" s="40" t="s">
        <v>180</v>
      </c>
    </row>
    <row r="28">
      <c r="A28" s="67">
        <v>45708.0</v>
      </c>
      <c r="B28" s="31" t="s">
        <v>27</v>
      </c>
      <c r="C28" s="40">
        <v>135.0</v>
      </c>
      <c r="D28" s="40" t="s">
        <v>169</v>
      </c>
      <c r="E28" s="40" t="s">
        <v>118</v>
      </c>
      <c r="M28" s="67">
        <v>45708.0</v>
      </c>
      <c r="N28" s="31" t="s">
        <v>27</v>
      </c>
      <c r="O28" s="40" t="s">
        <v>180</v>
      </c>
      <c r="P28" s="40" t="s">
        <v>180</v>
      </c>
      <c r="Q28" s="40" t="s">
        <v>180</v>
      </c>
    </row>
    <row r="29">
      <c r="A29" s="67">
        <v>45709.0</v>
      </c>
      <c r="B29" s="31" t="s">
        <v>17</v>
      </c>
      <c r="C29" s="40">
        <v>399.78</v>
      </c>
      <c r="D29" s="40" t="s">
        <v>171</v>
      </c>
      <c r="E29" s="40" t="s">
        <v>204</v>
      </c>
      <c r="M29" s="67">
        <v>45709.0</v>
      </c>
      <c r="N29" s="31" t="s">
        <v>17</v>
      </c>
      <c r="O29" s="40" t="s">
        <v>180</v>
      </c>
      <c r="P29" s="40" t="s">
        <v>180</v>
      </c>
      <c r="Q29" s="40" t="s">
        <v>180</v>
      </c>
    </row>
    <row r="30">
      <c r="A30" s="67">
        <v>45710.0</v>
      </c>
      <c r="B30" s="31" t="s">
        <v>19</v>
      </c>
      <c r="C30" s="40" t="s">
        <v>180</v>
      </c>
      <c r="D30" s="40" t="s">
        <v>180</v>
      </c>
      <c r="E30" s="40" t="s">
        <v>180</v>
      </c>
      <c r="M30" s="67">
        <v>45710.0</v>
      </c>
      <c r="N30" s="31" t="s">
        <v>19</v>
      </c>
      <c r="O30" s="40">
        <v>20.0</v>
      </c>
      <c r="P30" s="40" t="s">
        <v>170</v>
      </c>
      <c r="Q30" s="40" t="s">
        <v>119</v>
      </c>
    </row>
    <row r="31">
      <c r="A31" s="67">
        <v>45711.0</v>
      </c>
      <c r="B31" s="31" t="s">
        <v>21</v>
      </c>
      <c r="C31" s="40">
        <v>60.0</v>
      </c>
      <c r="D31" s="40" t="s">
        <v>169</v>
      </c>
      <c r="E31" s="40" t="s">
        <v>29</v>
      </c>
      <c r="M31" s="67">
        <v>45711.0</v>
      </c>
      <c r="N31" s="31" t="s">
        <v>21</v>
      </c>
      <c r="O31" s="40" t="s">
        <v>180</v>
      </c>
      <c r="P31" s="40" t="s">
        <v>180</v>
      </c>
      <c r="Q31" s="40" t="s">
        <v>180</v>
      </c>
    </row>
    <row r="32">
      <c r="A32" s="67">
        <v>45712.0</v>
      </c>
      <c r="B32" s="31" t="s">
        <v>23</v>
      </c>
      <c r="C32" s="40">
        <v>8.0</v>
      </c>
      <c r="D32" s="40" t="s">
        <v>170</v>
      </c>
      <c r="E32" s="40" t="s">
        <v>256</v>
      </c>
      <c r="M32" s="67">
        <v>45712.0</v>
      </c>
      <c r="N32" s="31" t="s">
        <v>23</v>
      </c>
      <c r="O32" s="40" t="s">
        <v>180</v>
      </c>
      <c r="P32" s="40" t="s">
        <v>180</v>
      </c>
      <c r="Q32" s="40" t="s">
        <v>180</v>
      </c>
    </row>
    <row r="33">
      <c r="A33" s="67">
        <v>45713.0</v>
      </c>
      <c r="B33" s="31" t="s">
        <v>25</v>
      </c>
      <c r="C33" s="40" t="s">
        <v>180</v>
      </c>
      <c r="D33" s="40" t="s">
        <v>180</v>
      </c>
      <c r="E33" s="40" t="s">
        <v>180</v>
      </c>
      <c r="M33" s="67">
        <v>45713.0</v>
      </c>
      <c r="N33" s="31" t="s">
        <v>25</v>
      </c>
      <c r="O33" s="40" t="s">
        <v>180</v>
      </c>
      <c r="P33" s="40" t="s">
        <v>180</v>
      </c>
      <c r="Q33" s="40" t="s">
        <v>180</v>
      </c>
    </row>
    <row r="34">
      <c r="A34" s="67">
        <v>45714.0</v>
      </c>
      <c r="B34" s="31" t="s">
        <v>26</v>
      </c>
      <c r="C34" s="40">
        <v>15.0</v>
      </c>
      <c r="D34" s="40" t="s">
        <v>169</v>
      </c>
      <c r="E34" s="40" t="s">
        <v>205</v>
      </c>
      <c r="M34" s="67">
        <v>45714.0</v>
      </c>
      <c r="N34" s="31" t="s">
        <v>26</v>
      </c>
      <c r="O34" s="40" t="s">
        <v>180</v>
      </c>
      <c r="P34" s="40" t="s">
        <v>180</v>
      </c>
      <c r="Q34" s="40" t="s">
        <v>180</v>
      </c>
    </row>
    <row r="35">
      <c r="A35" s="67">
        <v>45715.0</v>
      </c>
      <c r="B35" s="31" t="s">
        <v>27</v>
      </c>
      <c r="C35" s="40">
        <v>5.0</v>
      </c>
      <c r="D35" s="40" t="s">
        <v>170</v>
      </c>
      <c r="E35" s="40" t="s">
        <v>22</v>
      </c>
      <c r="M35" s="67">
        <v>45715.0</v>
      </c>
      <c r="N35" s="31" t="s">
        <v>27</v>
      </c>
      <c r="O35" s="40" t="s">
        <v>180</v>
      </c>
      <c r="P35" s="40" t="s">
        <v>180</v>
      </c>
      <c r="Q35" s="40" t="s">
        <v>180</v>
      </c>
    </row>
    <row r="36">
      <c r="A36" s="67">
        <v>45716.0</v>
      </c>
      <c r="B36" s="31" t="s">
        <v>17</v>
      </c>
      <c r="C36" s="40">
        <v>8.0</v>
      </c>
      <c r="D36" s="40" t="s">
        <v>171</v>
      </c>
      <c r="E36" s="40" t="s">
        <v>205</v>
      </c>
      <c r="M36" s="67">
        <v>45716.0</v>
      </c>
      <c r="N36" s="31" t="s">
        <v>17</v>
      </c>
      <c r="O36" s="40" t="s">
        <v>180</v>
      </c>
      <c r="P36" s="40" t="s">
        <v>180</v>
      </c>
      <c r="Q36" s="40" t="s">
        <v>180</v>
      </c>
    </row>
  </sheetData>
  <drawing r:id="rId1"/>
</worksheet>
</file>